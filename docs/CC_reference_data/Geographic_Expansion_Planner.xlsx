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et Input" state="visible" r:id="rId4"/>
    <sheet sheetId="2" name="Scoring Engine" state="visible" r:id="rId5"/>
    <sheet sheetId="3" name="Revenue Projections" state="visible" r:id="rId6"/>
    <sheet sheetId="4" name="Cost &amp; ROI" state="visible" r:id="rId7"/>
    <sheet sheetId="5" name="Priority Dashboard" state="visible" r:id="rId8"/>
    <sheet sheetId="6" name="Reference Data" state="visible" r:id="rId9"/>
  </sheets>
  <calcPr calcId="171027"/>
</workbook>
</file>

<file path=xl/sharedStrings.xml><?xml version="1.0" encoding="utf-8"?>
<sst xmlns="http://schemas.openxmlformats.org/spreadsheetml/2006/main" count="397" uniqueCount="297">
  <si>
    <t>GEOGRAPHIC EXPANSION — MARKET INPUT</t>
  </si>
  <si>
    <t>Yellow cells = user input  |  Gray cells = dropdown selection  |  White cells = auto-calculated</t>
  </si>
  <si>
    <t>Market ID</t>
  </si>
  <si>
    <t>Region</t>
  </si>
  <si>
    <t>State</t>
  </si>
  <si>
    <t>City/County Name</t>
  </si>
  <si>
    <t>Population</t>
  </si>
  <si>
    <t>Median HH Income</t>
  </si>
  <si>
    <t>Community Type</t>
  </si>
  <si>
    <t>Economy Type</t>
  </si>
  <si>
    <t>City Size</t>
  </si>
  <si>
    <t>Existing FM Count</t>
  </si>
  <si>
    <t>Existing FT Count</t>
  </si>
  <si>
    <t>Farm Count (County)</t>
  </si>
  <si>
    <t>Growing Season (Days)</t>
  </si>
  <si>
    <t>University Enrollment</t>
  </si>
  <si>
    <t>Competition Level</t>
  </si>
  <si>
    <t>Local Champion</t>
  </si>
  <si>
    <t>FT Regulatory Climate</t>
  </si>
  <si>
    <t>Tourism Level</t>
  </si>
  <si>
    <t>M-001</t>
  </si>
  <si>
    <t>M-002</t>
  </si>
  <si>
    <t>M-003</t>
  </si>
  <si>
    <t>M-004</t>
  </si>
  <si>
    <t>M-005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</si>
  <si>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</si>
  <si>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</si>
  <si>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</si>
  <si>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</si>
  <si>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</si>
  <si>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</si>
  <si>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</si>
  <si>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</si>
  <si>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</si>
  <si>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</si>
  <si>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</si>
  <si>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</si>
  <si>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</si>
  <si>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M-019</t>
  </si>
  <si>
    <t>M-020</t>
  </si>
  <si>
    <t>MARKET SCORING ENGINE — All values auto-calculated from Market Input tab</t>
  </si>
  <si>
    <t>Scores range 0-100. Higher = more attractive market. FM and FT scored independently.</t>
  </si>
  <si>
    <t>City/County</t>
  </si>
  <si>
    <t>Pop Score</t>
  </si>
  <si>
    <t>Income Score</t>
  </si>
  <si>
    <t>FM Density Score</t>
  </si>
  <si>
    <t>Farm Density Score</t>
  </si>
  <si>
    <t>Season Score</t>
  </si>
  <si>
    <t>Community Fit</t>
  </si>
  <si>
    <t>Economy Score</t>
  </si>
  <si>
    <t>Tourism Score</t>
  </si>
  <si>
    <t>Competition</t>
  </si>
  <si>
    <t>Champion Bonus</t>
  </si>
  <si>
    <t>FM TOTAL SCORE</t>
  </si>
  <si>
    <t>FM Grade</t>
  </si>
  <si>
    <t>FOOD TRUCK SCORING</t>
  </si>
  <si>
    <t>FT Density Score</t>
  </si>
  <si>
    <t>University Score</t>
  </si>
  <si>
    <t>Regulatory Score</t>
  </si>
  <si>
    <t>Climate Score</t>
  </si>
  <si>
    <t>FT TOTAL SCORE</t>
  </si>
  <si>
    <t>FT Grade</t>
  </si>
  <si>
    <t>VENDOR COUNT &amp; REVENUE PROJECTIONS</t>
  </si>
  <si>
    <t>ADJUSTABLE ASSUMPTIONS</t>
  </si>
  <si>
    <t/>
  </si>
  <si>
    <t>Assumption</t>
  </si>
  <si>
    <t>FM Value</t>
  </si>
  <si>
    <t>FT Value</t>
  </si>
  <si>
    <t>Source / Notes</t>
  </si>
  <si>
    <t>1</t>
  </si>
  <si>
    <t>Platform Adoption Rate (Year 1)</t>
  </si>
  <si>
    <t>5%</t>
  </si>
  <si>
    <t>3%</t>
  </si>
  <si>
    <t>Conservative — scales to 15-25% by Year 3</t>
  </si>
  <si>
    <t>2</t>
  </si>
  <si>
    <t>Avg Transaction $ (High Vol)</t>
  </si>
  <si>
    <t>$35.00</t>
  </si>
  <si>
    <t>$14.00</t>
  </si>
  <si>
    <t>Penn State Extension 2024 / FoodTruckProfit 2026</t>
  </si>
  <si>
    <t>3</t>
  </si>
  <si>
    <t>Avg Transaction $ (Mod Vol)</t>
  </si>
  <si>
    <t>$30.00</t>
  </si>
  <si>
    <t>$13.00</t>
  </si>
  <si>
    <t>Adjusted by volume tier</t>
  </si>
  <si>
    <t>4</t>
  </si>
  <si>
    <t>Avg Transaction $ (Low Vol)</t>
  </si>
  <si>
    <t>$25.00</t>
  </si>
  <si>
    <t>$11.00</t>
  </si>
  <si>
    <t>5</t>
  </si>
  <si>
    <t>Transactions/Week (High Vol)</t>
  </si>
  <si>
    <t>25</t>
  </si>
  <si>
    <t>40</t>
  </si>
  <si>
    <t>Platform transactions, not total vendor sales</t>
  </si>
  <si>
    <t>6</t>
  </si>
  <si>
    <t>Transactions/Week (Mod Vol)</t>
  </si>
  <si>
    <t>12</t>
  </si>
  <si>
    <t>20</t>
  </si>
  <si>
    <t>7</t>
  </si>
  <si>
    <t>Transactions/Week (Low Vol)</t>
  </si>
  <si>
    <t>8</t>
  </si>
  <si>
    <t>Vendor Tier Split: High %</t>
  </si>
  <si>
    <t>15%</t>
  </si>
  <si>
    <t>20%</t>
  </si>
  <si>
    <t>9</t>
  </si>
  <si>
    <t>Vendor Tier Split: Moderate %</t>
  </si>
  <si>
    <t>50%</t>
  </si>
  <si>
    <t>45%</t>
  </si>
  <si>
    <t>10</t>
  </si>
  <si>
    <t>Vendor Tier Split: Low %</t>
  </si>
  <si>
    <t>35%</t>
  </si>
  <si>
    <t>11</t>
  </si>
  <si>
    <t>Platform Fee (Buyer)</t>
  </si>
  <si>
    <t>6.5%</t>
  </si>
  <si>
    <t>From pricing.ts</t>
  </si>
  <si>
    <t>11b</t>
  </si>
  <si>
    <t>Platform Fee (Vendor - Stripe)</t>
  </si>
  <si>
    <t>From pricing.ts — charged on platform transactions</t>
  </si>
  <si>
    <t>11c</t>
  </si>
  <si>
    <t>Platform Fee (Vendor - External)</t>
  </si>
  <si>
    <t>3.5%</t>
  </si>
  <si>
    <t>From pricing.ts — charged on cash/Venmo/etc</t>
  </si>
  <si>
    <t>11d</t>
  </si>
  <si>
    <t>Est. % Platform vs External</t>
  </si>
  <si>
    <t>70%</t>
  </si>
  <si>
    <t>85%</t>
  </si>
  <si>
    <t>Estimated split — platform transactions tend higher for FT</t>
  </si>
  <si>
    <t>FM Direct-to-Consumer Farm %</t>
  </si>
  <si>
    <t>N/A</t>
  </si>
  <si>
    <t>USDA Census benchmark</t>
  </si>
  <si>
    <t>13</t>
  </si>
  <si>
    <t>FT per capita ratio</t>
  </si>
  <si>
    <t>1 per 5,000</t>
  </si>
  <si>
    <t>National avg for estimating FT count</t>
  </si>
  <si>
    <t>14</t>
  </si>
  <si>
    <t>Subscription: Free tier %</t>
  </si>
  <si>
    <t>40%</t>
  </si>
  <si>
    <t>Year 1 tier distribution</t>
  </si>
  <si>
    <t>15</t>
  </si>
  <si>
    <t>Subscription: Basic/Standard %</t>
  </si>
  <si>
    <t>16</t>
  </si>
  <si>
    <t>Subscription: Premium/Pro %</t>
  </si>
  <si>
    <t>17</t>
  </si>
  <si>
    <t>Subscription: Featured/Boss %</t>
  </si>
  <si>
    <t>18</t>
  </si>
  <si>
    <t>Sub Price: Free</t>
  </si>
  <si>
    <t>$0</t>
  </si>
  <si>
    <t>19</t>
  </si>
  <si>
    <t>Sub Price: Basic/Standard</t>
  </si>
  <si>
    <t>$10</t>
  </si>
  <si>
    <t>Sub Price: Premium/Pro</t>
  </si>
  <si>
    <t>$25</t>
  </si>
  <si>
    <t>MARKET PROJECTIONS (Year 1)</t>
  </si>
  <si>
    <t>Sub Price: Featured/Boss</t>
  </si>
  <si>
    <t>$50</t>
  </si>
  <si>
    <t>FM Score</t>
  </si>
  <si>
    <t>FT Score</t>
  </si>
  <si>
    <t>Est. FM Vendors</t>
  </si>
  <si>
    <t>Est. FT Vendors</t>
  </si>
  <si>
    <t>Total Vendors</t>
  </si>
  <si>
    <t>FM Monthly Rev</t>
  </si>
  <si>
    <t>FT Monthly Rev</t>
  </si>
  <si>
    <t>Sub Monthly Rev</t>
  </si>
  <si>
    <t>Total Monthly Rev</t>
  </si>
  <si>
    <t>Annual Revenue</t>
  </si>
  <si>
    <t>COST &amp; ROI ANALYSIS</t>
  </si>
  <si>
    <t>SALES REP COSTS</t>
  </si>
  <si>
    <t>Field</t>
  </si>
  <si>
    <t>Value</t>
  </si>
  <si>
    <t>Notes</t>
  </si>
  <si>
    <t>Weekly Base Pay</t>
  </si>
  <si>
    <t>Small fixed weekly amount per rep</t>
  </si>
  <si>
    <t>Bonus per Vendor Signed ($)</t>
  </si>
  <si>
    <t>One-time commission per new vendor onboarded</t>
  </si>
  <si>
    <t>Revenue Share % (of market rev)</t>
  </si>
  <si>
    <t>Ongoing % of platform revenue from their market (e.g. 10%)</t>
  </si>
  <si>
    <t>Target Vendors per Month</t>
  </si>
  <si>
    <t>How many vendors should they sign monthly</t>
  </si>
  <si>
    <t>Monthly Marketing Budget</t>
  </si>
  <si>
    <t>Per-market ad spend, flyers, events</t>
  </si>
  <si>
    <t>Monthly Travel/Expense</t>
  </si>
  <si>
    <t>Gas, meals, supplies</t>
  </si>
  <si>
    <t>CALCULATED COSTS</t>
  </si>
  <si>
    <t>Monthly Base Pay</t>
  </si>
  <si>
    <t>= Weekly Base × 4.33 weeks/month</t>
  </si>
  <si>
    <t>Monthly Signup Bonuses</t>
  </si>
  <si>
    <t>= Bonus per vendor × vendors signed/month</t>
  </si>
  <si>
    <t>Monthly Rev Share (see ROI table)</t>
  </si>
  <si>
    <t>Calculated per-market below (varies by market revenue)</t>
  </si>
  <si>
    <t>Monthly Fixed Cost (per market)</t>
  </si>
  <si>
    <t>= Base + Bonuses + Marketing + Travel</t>
  </si>
  <si>
    <t>ROI BY MARKET</t>
  </si>
  <si>
    <t>Monthly Revenue</t>
  </si>
  <si>
    <t>Monthly Cost</t>
  </si>
  <si>
    <t>Monthly Net</t>
  </si>
  <si>
    <t>Break-even Month</t>
  </si>
  <si>
    <t>12-Month ROI</t>
  </si>
  <si>
    <t>Verdict</t>
  </si>
  <si>
    <t>MARKET PRIORITY DASHBOARD</t>
  </si>
  <si>
    <t>Combined view — sort by Combined Score or Annual Revenue to prioritize markets</t>
  </si>
  <si>
    <t>Combined Score</t>
  </si>
  <si>
    <t>Est. Vendors</t>
  </si>
  <si>
    <t>12-Mo ROI</t>
  </si>
  <si>
    <t>GO / NO-GO</t>
  </si>
  <si>
    <t>REFERENCE DATA &amp; SOURCES</t>
  </si>
  <si>
    <t>TRANSACTION BENCHMARKS</t>
  </si>
  <si>
    <t>Metric</t>
  </si>
  <si>
    <t>Source</t>
  </si>
  <si>
    <t>Avg customer spend per visit</t>
  </si>
  <si>
    <t>$31-35</t>
  </si>
  <si>
    <t>$12.76</t>
  </si>
  <si>
    <t>Spend distribution: $10-25</t>
  </si>
  <si>
    <t>32%</t>
  </si>
  <si>
    <t>Penn State Extension Survey</t>
  </si>
  <si>
    <t>Spend distribution: $26-50</t>
  </si>
  <si>
    <t>38%</t>
  </si>
  <si>
    <t>Urban vs Suburban avg</t>
  </si>
  <si>
    <t>$12-15 / $8-10</t>
  </si>
  <si>
    <t>Toast POS 2025</t>
  </si>
  <si>
    <t>Digital payment uplift</t>
  </si>
  <si>
    <t>+$2.28 (card)</t>
  </si>
  <si>
    <t>+$5.02 (other)</t>
  </si>
  <si>
    <t>Wiley JAAEA 2024</t>
  </si>
  <si>
    <t>Vendor avg weekly revenue</t>
  </si>
  <si>
    <t>$200-1,600</t>
  </si>
  <si>
    <t>$4,800-9,600</t>
  </si>
  <si>
    <t>Industry surveys</t>
  </si>
  <si>
    <t>Vendor avg annual revenue</t>
  </si>
  <si>
    <t>$25K-70K</t>
  </si>
  <si>
    <t>$250K-500K</t>
  </si>
  <si>
    <t>USDA / FoodTruckProfit</t>
  </si>
  <si>
    <t>DATA SOURCES FOR MARKET INPUT</t>
  </si>
  <si>
    <t>Data Needed</t>
  </si>
  <si>
    <t>URL</t>
  </si>
  <si>
    <t>Farm count by county</t>
  </si>
  <si>
    <t>USDA Census of Agriculture 2022</t>
  </si>
  <si>
    <t>https://www.nass.usda.gov/AgCensus/</t>
  </si>
  <si>
    <t>Farmers market count</t>
  </si>
  <si>
    <t>USDA AMS National FM Directory</t>
  </si>
  <si>
    <t>https://www.usdalocalfoodportal.com/fe/fdirectory_farmersmarket/</t>
  </si>
  <si>
    <t>Median household income</t>
  </si>
  <si>
    <t>US Census Bureau ACS</t>
  </si>
  <si>
    <t>https://data.census.gov</t>
  </si>
  <si>
    <t>Population by city/county</t>
  </si>
  <si>
    <t>US Census QuickFacts</t>
  </si>
  <si>
    <t>https://www.census.gov/quickfacts</t>
  </si>
  <si>
    <t>Growing season (frost-free days)</t>
  </si>
  <si>
    <t>Old Farmer's Almanac / NOAA</t>
  </si>
  <si>
    <t>https://www.almanac.com/gardening/frostdates</t>
  </si>
  <si>
    <t>Food truck regulations by state</t>
  </si>
  <si>
    <t>WorldPopulationReview</t>
  </si>
  <si>
    <t>https://worldpopulationreview.com/state-rankings/food-truck-regulations-by-state</t>
  </si>
  <si>
    <t>University enrollment</t>
  </si>
  <si>
    <t>NCES IPEDS</t>
  </si>
  <si>
    <t>https://nces.ed.gov/ipeds/</t>
  </si>
  <si>
    <t>Food truck count estimate</t>
  </si>
  <si>
    <t>Google Maps / Yelp search</t>
  </si>
  <si>
    <t>Search "[city] food trucks" on Google Maps</t>
  </si>
  <si>
    <t>FM industry stats</t>
  </si>
  <si>
    <t>Farmers Market Coalition</t>
  </si>
  <si>
    <t>https://farmersmarketcoalition.org/</t>
  </si>
  <si>
    <t>FT industry stats</t>
  </si>
  <si>
    <t>FoodTruckProfit 2026 Survey</t>
  </si>
  <si>
    <t>https://www.foodtruckprofit.com/food-truck-statistics</t>
  </si>
  <si>
    <t>FT industry analysis</t>
  </si>
  <si>
    <t>IBISWorld</t>
  </si>
  <si>
    <t>https://www.ibisworld.com/united-states/industry/food-trucks/4322/</t>
  </si>
  <si>
    <t>Consumer spending patterns</t>
  </si>
  <si>
    <t>Penn State Extension</t>
  </si>
  <si>
    <t>https://extension.psu.edu/analysis-of-the-2024-farmers-market-assessment-survey</t>
  </si>
  <si>
    <t>FM SEASONALITY MULTIPLIERS</t>
  </si>
  <si>
    <t>Month</t>
  </si>
  <si>
    <t>FM Multiplier</t>
  </si>
  <si>
    <t>FT Multiplier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</si>
  <si>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</si>
  <si>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</si>
  <si>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</si>
  <si>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</si>
  <si>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</si>
  <si>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</si>
  <si>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</si>
  <si>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</si>
  <si>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</si>
  <si>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</si>
  <si>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</si>
  <si>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</si>
  <si>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Factor:</t>
  </si>
  <si>
    <t>SCORING WEIGHTS</t>
  </si>
  <si>
    <t>Factor</t>
  </si>
  <si>
    <t>FM Weight</t>
  </si>
  <si>
    <t>FT Weight</t>
  </si>
  <si>
    <t>Median Income</t>
  </si>
  <si>
    <t>10%</t>
  </si>
  <si>
    <t>Market/Truck Density</t>
  </si>
  <si>
    <t>Farm Density / University</t>
  </si>
  <si>
    <t>Growing Season / Climate</t>
  </si>
  <si>
    <t>Economy Type / Regulatory</t>
  </si>
  <si>
    <t>Tourism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</si>
</sst>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$#,##0.00"/>
    <numFmt numFmtId="166" formatCode="0.0&quot;%&quot;"/>
  </numFmts>
  <fonts count="17" x14ac:knownFonts="1">
    <font>
      <color theme="1"/>
      <family val="2"/>
      <scheme val="minor"/>
      <sz val="11"/>
      <name val="Calibri"/>
    </font>
    <font>
      <b/>
      <color rgb="FF2D6A4F"/>
      <sz val="14"/>
    </font>
    <font>
      <i/>
      <color rgb="FF666666"/>
      <sz val="10"/>
    </font>
    <font>
      <b/>
      <color rgb="FFFFFFFF"/>
      <sz val="11"/>
    </font>
    <font>
      <b/>
      <color rgb="FF1565C0"/>
      <sz val="14"/>
    </font>
    <font>
      <b/>
      <sz val="12"/>
    </font>
    <font>
      <b/>
    </font>
    <font>
      <b/>
      <color rgb="FFFF5757"/>
      <sz val="14"/>
    </font>
    <font>
      <b/>
      <color rgb="FF2E7D32"/>
      <sz val="14"/>
    </font>
    <font>
      <b/>
      <color rgb="FF2D6A4F"/>
      <sz val="12"/>
    </font>
    <font>
      <b/>
      <color rgb="FFE65100"/>
      <sz val="14"/>
    </font>
    <font>
      <b/>
      <color rgb="FFE65100"/>
      <sz val="12"/>
    </font>
    <font>
      <i/>
      <color rgb="FF666666"/>
    </font>
    <font>
      <b/>
      <color rgb="FF6A1B9A"/>
      <sz val="14"/>
    </font>
    <font>
      <b/>
      <color rgb="FF546E7A"/>
      <sz val="14"/>
    </font>
    <font>
      <b/>
      <color rgb="FFFFFFFF"/>
    </font>
    <font>
      <u/>
      <color rgb="FF1565C0"/>
    </font>
  </fonts>
  <fills count="11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5F5F5"/>
      </patternFill>
    </fill>
    <fill>
      <patternFill patternType="solid">
        <fgColor rgb="FFFFFF00"/>
      </patternFill>
    </fill>
    <fill>
      <patternFill patternType="solid">
        <fgColor rgb="FFE8F5E9"/>
      </patternFill>
    </fill>
    <fill>
      <patternFill patternType="solid">
        <fgColor rgb="FFFF5757"/>
      </patternFill>
    </fill>
    <fill>
      <patternFill patternType="solid">
        <fgColor rgb="FFE3F2FD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546E7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0" fontId="4" fillId="0" borderId="0" xfId="0" applyFont="1" applyAlignment="1">
      <alignment horizontal="center"/>
    </xf>
    <xf numFmtId="0" fontId="0" fillId="0" borderId="1" xfId="0" applyBorder="1"/>
    <xf numFmtId="0" fontId="5" fillId="5" borderId="1" xfId="0" applyFont="1" applyFill="1" applyBorder="1"/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/>
    <xf numFmtId="0" fontId="8" fillId="0" borderId="0" xfId="0" applyFont="1" applyAlignment="1">
      <alignment horizontal="center"/>
    </xf>
    <xf numFmtId="0" fontId="9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9" fillId="0" borderId="1" xfId="0" applyFont="1" applyBorder="1"/>
    <xf numFmtId="0" fontId="0" fillId="5" borderId="1" xfId="0" applyFill="1" applyBorder="1"/>
    <xf numFmtId="0" fontId="0" fillId="7" borderId="1" xfId="0" applyFill="1" applyBorder="1"/>
    <xf numFmtId="0" fontId="6" fillId="0" borderId="1" xfId="0" applyFont="1" applyBorder="1"/>
    <xf numFmtId="165" fontId="0" fillId="0" borderId="1" xfId="0" applyNumberFormat="1" applyBorder="1"/>
    <xf numFmtId="165" fontId="6" fillId="5" borderId="1" xfId="0" applyNumberFormat="1" applyFont="1" applyFill="1" applyBorder="1"/>
    <xf numFmtId="164" fontId="6" fillId="0" borderId="1" xfId="0" applyNumberFormat="1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3" fillId="8" borderId="1" xfId="0" applyFont="1" applyFill="1" applyBorder="1" applyAlignment="1">
      <alignment horizontal="center"/>
    </xf>
    <xf numFmtId="165" fontId="0" fillId="4" borderId="1" xfId="0" applyNumberFormat="1" applyFill="1" applyBorder="1"/>
    <xf numFmtId="166" fontId="0" fillId="4" borderId="1" xfId="0" applyNumberFormat="1" applyFill="1" applyBorder="1"/>
    <xf numFmtId="1" fontId="0" fillId="4" borderId="1" xfId="0" applyNumberFormat="1" applyFill="1" applyBorder="1"/>
    <xf numFmtId="165" fontId="0" fillId="5" borderId="1" xfId="0" applyNumberFormat="1" applyFill="1" applyBorder="1"/>
    <xf numFmtId="0" fontId="12" fillId="0" borderId="1" xfId="0" applyFont="1" applyBorder="1"/>
    <xf numFmtId="0" fontId="3" fillId="8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3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/>
    <xf numFmtId="0" fontId="15" fillId="10" borderId="1" xfId="0" applyFont="1" applyFill="1" applyBorder="1"/>
    <xf numFmtId="0" fontId="16" fillId="0" borderId="1" xfId="0" applyFont="1" applyBorder="1"/>
    <xf numFmtId="9" fontId="0" fillId="0" borderId="1" xfId="0" applyNumberFormat="1" applyBorder="1"/>
    <xf numFmtId="0" fontId="6" fillId="0" borderId="0" xfId="0" applyFont="1"/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ss.usda.gov/AgCensus/" TargetMode="External"/><Relationship Id="rId2" Type="http://schemas.openxmlformats.org/officeDocument/2006/relationships/hyperlink" Target="https://www.usdalocalfoodportal.com/fe/fdirectory_farmersmarket/" TargetMode="External"/><Relationship Id="rId3" Type="http://schemas.openxmlformats.org/officeDocument/2006/relationships/hyperlink" Target="https://data.census.gov" TargetMode="External"/><Relationship Id="rId4" Type="http://schemas.openxmlformats.org/officeDocument/2006/relationships/hyperlink" Target="https://www.census.gov/quickfacts" TargetMode="External"/><Relationship Id="rId5" Type="http://schemas.openxmlformats.org/officeDocument/2006/relationships/hyperlink" Target="https://www.almanac.com/gardening/frostdates" TargetMode="External"/><Relationship Id="rId6" Type="http://schemas.openxmlformats.org/officeDocument/2006/relationships/hyperlink" Target="https://worldpopulationreview.com/state-rankings/food-truck-regulations-by-state" TargetMode="External"/><Relationship Id="rId7" Type="http://schemas.openxmlformats.org/officeDocument/2006/relationships/hyperlink" Target="https://nces.ed.gov/ipeds/" TargetMode="External"/><Relationship Id="rId8" Type="http://schemas.openxmlformats.org/officeDocument/2006/relationships/hyperlink" Target="https://farmersmarketcoalition.org/" TargetMode="External"/><Relationship Id="rId9" Type="http://schemas.openxmlformats.org/officeDocument/2006/relationships/hyperlink" Target="https://www.foodtruckprofit.com/food-truck-statistics" TargetMode="External"/><Relationship Id="rId10" Type="http://schemas.openxmlformats.org/officeDocument/2006/relationships/hyperlink" Target="https://www.ibisworld.com/united-states/industry/food-trucks/4322/" TargetMode="External"/><Relationship Id="rId11" Type="http://schemas.openxmlformats.org/officeDocument/2006/relationships/hyperlink" Target="https://extension.psu.edu/analysis-of-the-2024-farmers-market-assessment-surv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R24"/>
  <sheetFormatPr defaultRowHeight="15" outlineLevelRow="0" outlineLevelCol="0" x14ac:dyDescent="55"/>
  <cols>
    <col min="1" max="1" width="10" customWidth="1"/>
    <col min="2" max="2" width="16" customWidth="1"/>
    <col min="3" max="3" width="14" customWidth="1"/>
    <col min="4" max="4" width="22" customWidth="1"/>
    <col min="5" max="5" width="14" customWidth="1"/>
    <col min="6" max="8" width="16" customWidth="1"/>
    <col min="9" max="11" width="14" customWidth="1"/>
    <col min="12" max="12" width="16" customWidth="1"/>
    <col min="13" max="14" width="18" customWidth="1"/>
    <col min="15" max="16" width="16" customWidth="1"/>
    <col min="17" max="17" width="20" customWidth="1"/>
    <col min="18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30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25">
      <c r="A5" s="4" t="s">
        <v>20</v>
      </c>
      <c r="B5" s="5"/>
      <c r="C5" s="5"/>
      <c r="D5" s="6"/>
      <c r="E5" s="7"/>
      <c r="F5" s="8"/>
      <c r="G5" s="5"/>
      <c r="H5" s="5"/>
      <c r="I5" s="4">
        <f>IF(E5="","",IF(E5&lt;25000,"Micro",IF(E5&lt;100000,"Small",IF(E5&lt;250000,"Medium",IF(E5&lt;1000000,"Large","Metro")))))</f>
      </c>
      <c r="J5" s="6"/>
      <c r="K5" s="6"/>
      <c r="L5" s="6"/>
      <c r="M5" s="6"/>
      <c r="N5" s="7"/>
      <c r="O5" s="5"/>
      <c r="P5" s="5"/>
      <c r="Q5" s="5"/>
      <c r="R5" s="5"/>
    </row>
    <row r="6" spans="1:18" x14ac:dyDescent="0.25">
      <c r="A6" s="4" t="s">
        <v>21</v>
      </c>
      <c r="B6" s="5"/>
      <c r="C6" s="5"/>
      <c r="D6" s="6"/>
      <c r="E6" s="7"/>
      <c r="F6" s="8"/>
      <c r="G6" s="5"/>
      <c r="H6" s="5"/>
      <c r="I6" s="4">
        <f>IF(E6="","",IF(E6&lt;25000,"Micro",IF(E6&lt;100000,"Small",IF(E6&lt;250000,"Medium",IF(E6&lt;1000000,"Large","Metro")))))</f>
      </c>
      <c r="J6" s="6"/>
      <c r="K6" s="6"/>
      <c r="L6" s="6"/>
      <c r="M6" s="6"/>
      <c r="N6" s="7"/>
      <c r="O6" s="5"/>
      <c r="P6" s="5"/>
      <c r="Q6" s="5"/>
      <c r="R6" s="5"/>
    </row>
    <row r="7" spans="1:18" x14ac:dyDescent="0.25">
      <c r="A7" s="4" t="s">
        <v>22</v>
      </c>
      <c r="B7" s="5"/>
      <c r="C7" s="5"/>
      <c r="D7" s="6"/>
      <c r="E7" s="7"/>
      <c r="F7" s="8"/>
      <c r="G7" s="5"/>
      <c r="H7" s="5"/>
      <c r="I7" s="4">
        <f>IF(E7="","",IF(E7&lt;25000,"Micro",IF(E7&lt;100000,"Small",IF(E7&lt;250000,"Medium",IF(E7&lt;1000000,"Large","Metro")))))</f>
      </c>
      <c r="J7" s="6"/>
      <c r="K7" s="6"/>
      <c r="L7" s="6"/>
      <c r="M7" s="6"/>
      <c r="N7" s="7"/>
      <c r="O7" s="5"/>
      <c r="P7" s="5"/>
      <c r="Q7" s="5"/>
      <c r="R7" s="5"/>
    </row>
    <row r="8" spans="1:18" x14ac:dyDescent="0.25">
      <c r="A8" s="4" t="s">
        <v>23</v>
      </c>
      <c r="B8" s="5"/>
      <c r="C8" s="5"/>
      <c r="D8" s="6"/>
      <c r="E8" s="7"/>
      <c r="F8" s="8"/>
      <c r="G8" s="5"/>
      <c r="H8" s="5"/>
      <c r="I8" s="4">
        <f>IF(E8="","",IF(E8&lt;25000,"Micro",IF(E8&lt;100000,"Small",IF(E8&lt;250000,"Medium",IF(E8&lt;1000000,"Large","Metro")))))</f>
      </c>
      <c r="J8" s="6"/>
      <c r="K8" s="6"/>
      <c r="L8" s="6"/>
      <c r="M8" s="6"/>
      <c r="N8" s="7"/>
      <c r="O8" s="5"/>
      <c r="P8" s="5"/>
      <c r="Q8" s="5"/>
      <c r="R8" s="5"/>
    </row>
    <row r="9" spans="1:18" x14ac:dyDescent="0.25">
      <c r="A9" s="4" t="s">
        <v>24</v>
      </c>
      <c r="B9" s="5"/>
      <c r="C9" s="5"/>
      <c r="D9" s="6"/>
      <c r="E9" s="7"/>
      <c r="F9" s="8"/>
      <c r="G9" s="5"/>
      <c r="H9" s="5"/>
      <c r="I9" s="4">
        <f>IF(E9="","",IF(E9&lt;25000,"Micro",IF(E9&lt;100000,"Small",IF(E9&lt;250000,"Medium",IF(E9&lt;1000000,"Large","Metro")))))</f>
      </c>
      <c r="J9" s="6"/>
      <c r="K9" s="6"/>
      <c r="L9" s="6"/>
      <c r="M9" s="6"/>
      <c r="N9" s="7"/>
      <c r="O9" s="5"/>
      <c r="P9" s="5"/>
      <c r="Q9" s="5"/>
      <c r="R9" s="5"/>
    </row>
    <row r="10" spans="1:18" x14ac:dyDescent="0.25">
      <c r="A10" s="4" t="s">
        <v>25</v>
      </c>
      <c r="B10" s="5"/>
      <c r="C10" s="5"/>
      <c r="D10" s="6"/>
      <c r="E10" s="7"/>
      <c r="F10" s="8"/>
      <c r="G10" s="5"/>
      <c r="H10" s="5"/>
      <c r="I10" s="4">
        <f>IF(E10="","",IF(E10&lt;25000,"Micro",IF(E10&lt;100000,"Small",IF(E10&lt;250000,"Medium",IF(E10&lt;1000000,"Large","Metro")))))</f>
      </c>
      <c r="J10" s="6"/>
      <c r="K10" s="6"/>
      <c r="L10" s="6"/>
      <c r="M10" s="6"/>
      <c r="N10" s="7"/>
      <c r="O10" s="5"/>
      <c r="P10" s="5"/>
      <c r="Q10" s="5"/>
      <c r="R10" s="5"/>
    </row>
    <row r="11" spans="1:18" x14ac:dyDescent="0.25">
      <c r="A11" s="4" t="s">
        <v>26</v>
      </c>
      <c r="B11" s="5"/>
      <c r="C11" s="5"/>
      <c r="D11" s="6"/>
      <c r="E11" s="7"/>
      <c r="F11" s="8"/>
      <c r="G11" s="5"/>
      <c r="H11" s="5"/>
      <c r="I11" s="4">
        <f>IF(E11="","",IF(E11&lt;25000,"Micro",IF(E11&lt;100000,"Small",IF(E11&lt;250000,"Medium",IF(E11&lt;1000000,"Large","Metro")))))</f>
      </c>
      <c r="J11" s="6"/>
      <c r="K11" s="6"/>
      <c r="L11" s="6"/>
      <c r="M11" s="6"/>
      <c r="N11" s="7"/>
      <c r="O11" s="5"/>
      <c r="P11" s="5"/>
      <c r="Q11" s="5"/>
      <c r="R11" s="5"/>
    </row>
    <row r="12" spans="1:18" x14ac:dyDescent="0.25">
      <c r="A12" s="4" t="s">
        <v>27</v>
      </c>
      <c r="B12" s="5"/>
      <c r="C12" s="5"/>
      <c r="D12" s="6"/>
      <c r="E12" s="7"/>
      <c r="F12" s="8"/>
      <c r="G12" s="5"/>
      <c r="H12" s="5"/>
      <c r="I12" s="4">
        <f>IF(E12="","",IF(E12&lt;25000,"Micro",IF(E12&lt;100000,"Small",IF(E12&lt;250000,"Medium",IF(E12&lt;1000000,"Large","Metro")))))</f>
      </c>
      <c r="J12" s="6"/>
      <c r="K12" s="6"/>
      <c r="L12" s="6"/>
      <c r="M12" s="6"/>
      <c r="N12" s="7"/>
      <c r="O12" s="5"/>
      <c r="P12" s="5"/>
      <c r="Q12" s="5"/>
      <c r="R12" s="5"/>
    </row>
    <row r="13" spans="1:18" x14ac:dyDescent="0.25">
      <c r="A13" s="4" t="s">
        <v>28</v>
      </c>
      <c r="B13" s="5"/>
      <c r="C13" s="5"/>
      <c r="D13" s="6"/>
      <c r="E13" s="7"/>
      <c r="F13" s="8"/>
      <c r="G13" s="5"/>
      <c r="H13" s="5"/>
      <c r="I13" s="4">
        <f>IF(E13="","",IF(E13&lt;25000,"Micro",IF(E13&lt;100000,"Small",IF(E13&lt;250000,"Medium",IF(E13&lt;1000000,"Large","Metro")))))</f>
      </c>
      <c r="J13" s="6"/>
      <c r="K13" s="6"/>
      <c r="L13" s="6"/>
      <c r="M13" s="6"/>
      <c r="N13" s="7"/>
      <c r="O13" s="5"/>
      <c r="P13" s="5"/>
      <c r="Q13" s="5"/>
      <c r="R13" s="5"/>
    </row>
    <row r="14" spans="1:18" x14ac:dyDescent="0.25">
      <c r="A14" s="4" t="s">
        <v>29</v>
      </c>
      <c r="B14" s="5"/>
      <c r="C14" s="5"/>
      <c r="D14" s="6"/>
      <c r="E14" s="7"/>
      <c r="F14" s="8"/>
      <c r="G14" s="5"/>
      <c r="H14" s="5"/>
      <c r="I14" s="4">
        <f>IF(E14="","",IF(E14&lt;25000,"Micro",IF(E14&lt;100000,"Small",IF(E14&lt;250000,"Medium",IF(E14&lt;1000000,"Large","Metro")))))</f>
      </c>
      <c r="J14" s="6"/>
      <c r="K14" s="6"/>
      <c r="L14" s="6"/>
      <c r="M14" s="6"/>
      <c r="N14" s="7"/>
      <c r="O14" s="5"/>
      <c r="P14" s="5"/>
      <c r="Q14" s="5"/>
      <c r="R14" s="5"/>
    </row>
    <row r="15" spans="1:18" x14ac:dyDescent="0.25">
      <c r="A15" s="4" t="s">
        <v>30</v>
      </c>
      <c r="B15" s="5"/>
      <c r="C15" s="5"/>
      <c r="D15" s="6"/>
      <c r="E15" s="7"/>
      <c r="F15" s="8"/>
      <c r="G15" s="5"/>
      <c r="H15" s="5"/>
      <c r="I15" s="4">
        <f>IF(E15="","",IF(E15&lt;25000,"Micro",IF(E15&lt;100000,"Small",IF(E15&lt;250000,"Medium",IF(E15&lt;1000000,"Large","Metro")))))</f>
      </c>
      <c r="J15" s="6"/>
      <c r="K15" s="6"/>
      <c r="L15" s="6"/>
      <c r="M15" s="6"/>
      <c r="N15" s="7"/>
      <c r="O15" s="5"/>
      <c r="P15" s="5"/>
      <c r="Q15" s="5"/>
      <c r="R15" s="5"/>
    </row>
    <row r="16" spans="1:18" x14ac:dyDescent="0.25">
      <c r="A16" s="4" t="s">
        <v>31</v>
      </c>
      <c r="B16" s="5"/>
      <c r="C16" s="5"/>
      <c r="D16" s="6"/>
      <c r="E16" s="7"/>
      <c r="F16" s="8"/>
      <c r="G16" s="5"/>
      <c r="H16" s="5"/>
      <c r="I16" s="4">
        <f>IF(E16="","",IF(E16&lt;25000,"Micro",IF(E16&lt;100000,"Small",IF(E16&lt;250000,"Medium",IF(E16&lt;1000000,"Large","Metro")))))</f>
      </c>
      <c r="J16" s="6"/>
      <c r="K16" s="6"/>
      <c r="L16" s="6"/>
      <c r="M16" s="6"/>
      <c r="N16" s="7"/>
      <c r="O16" s="5"/>
      <c r="P16" s="5"/>
      <c r="Q16" s="5"/>
      <c r="R16" s="5"/>
    </row>
    <row r="17" spans="1:18" x14ac:dyDescent="0.25">
      <c r="A17" s="4" t="s">
        <v>32</v>
      </c>
      <c r="B17" s="5"/>
      <c r="C17" s="5"/>
      <c r="D17" s="6"/>
      <c r="E17" s="7"/>
      <c r="F17" s="8"/>
      <c r="G17" s="5"/>
      <c r="H17" s="5"/>
      <c r="I17" s="4">
        <f>IF(E17="","",IF(E17&lt;25000,"Micro",IF(E17&lt;100000,"Small",IF(E17&lt;250000,"Medium",IF(E17&lt;1000000,"Large","Metro")))))</f>
      </c>
      <c r="J17" s="6"/>
      <c r="K17" s="6"/>
      <c r="L17" s="6"/>
      <c r="M17" s="6"/>
      <c r="N17" s="7"/>
      <c r="O17" s="5"/>
      <c r="P17" s="5"/>
      <c r="Q17" s="5"/>
      <c r="R17" s="5"/>
    </row>
    <row r="18" spans="1:18" x14ac:dyDescent="0.25">
      <c r="A18" s="4" t="s">
        <v>33</v>
      </c>
      <c r="B18" s="5"/>
      <c r="C18" s="5"/>
      <c r="D18" s="6"/>
      <c r="E18" s="7"/>
      <c r="F18" s="8"/>
      <c r="G18" s="5"/>
      <c r="H18" s="5"/>
      <c r="I18" s="4">
        <f>IF(E18="","",IF(E18&lt;25000,"Micro",IF(E18&lt;100000,"Small",IF(E18&lt;250000,"Medium",IF(E18&lt;1000000,"Large","Metro")))))</f>
      </c>
      <c r="J18" s="6"/>
      <c r="K18" s="6"/>
      <c r="L18" s="6"/>
      <c r="M18" s="6"/>
      <c r="N18" s="7"/>
      <c r="O18" s="5"/>
      <c r="P18" s="5"/>
      <c r="Q18" s="5"/>
      <c r="R18" s="5"/>
    </row>
    <row r="19" spans="1:18" x14ac:dyDescent="0.25">
      <c r="A19" s="4" t="s">
        <v>34</v>
      </c>
      <c r="B19" s="5"/>
      <c r="C19" s="5"/>
      <c r="D19" s="6"/>
      <c r="E19" s="7"/>
      <c r="F19" s="8"/>
      <c r="G19" s="5"/>
      <c r="H19" s="5"/>
      <c r="I19" s="4">
        <f>IF(E19="","",IF(E19&lt;25000,"Micro",IF(E19&lt;100000,"Small",IF(E19&lt;250000,"Medium",IF(E19&lt;1000000,"Large","Metro")))))</f>
      </c>
      <c r="J19" s="6"/>
      <c r="K19" s="6"/>
      <c r="L19" s="6"/>
      <c r="M19" s="6"/>
      <c r="N19" s="7"/>
      <c r="O19" s="5"/>
      <c r="P19" s="5"/>
      <c r="Q19" s="5"/>
      <c r="R19" s="5"/>
    </row>
    <row r="20" spans="1:18" x14ac:dyDescent="0.25">
      <c r="A20" s="4" t="s">
        <v>35</v>
      </c>
      <c r="B20" s="5"/>
      <c r="C20" s="5"/>
      <c r="D20" s="6"/>
      <c r="E20" s="7"/>
      <c r="F20" s="8"/>
      <c r="G20" s="5"/>
      <c r="H20" s="5"/>
      <c r="I20" s="4">
        <f>IF(E20="","",IF(E20&lt;25000,"Micro",IF(E20&lt;100000,"Small",IF(E20&lt;250000,"Medium",IF(E20&lt;1000000,"Large","Metro")))))</f>
      </c>
      <c r="J20" s="6"/>
      <c r="K20" s="6"/>
      <c r="L20" s="6"/>
      <c r="M20" s="6"/>
      <c r="N20" s="7"/>
      <c r="O20" s="5"/>
      <c r="P20" s="5"/>
      <c r="Q20" s="5"/>
      <c r="R20" s="5"/>
    </row>
    <row r="21" spans="1:18" x14ac:dyDescent="0.25">
      <c r="A21" s="4" t="s">
        <v>36</v>
      </c>
      <c r="B21" s="5"/>
      <c r="C21" s="5"/>
      <c r="D21" s="6"/>
      <c r="E21" s="7"/>
      <c r="F21" s="8"/>
      <c r="G21" s="5"/>
      <c r="H21" s="5"/>
      <c r="I21" s="4">
        <f>IF(E21="","",IF(E21&lt;25000,"Micro",IF(E21&lt;100000,"Small",IF(E21&lt;250000,"Medium",IF(E21&lt;1000000,"Large","Metro")))))</f>
      </c>
      <c r="J21" s="6"/>
      <c r="K21" s="6"/>
      <c r="L21" s="6"/>
      <c r="M21" s="6"/>
      <c r="N21" s="7"/>
      <c r="O21" s="5"/>
      <c r="P21" s="5"/>
      <c r="Q21" s="5"/>
      <c r="R21" s="5"/>
    </row>
    <row r="22" spans="1:18" x14ac:dyDescent="0.25">
      <c r="A22" s="4" t="s">
        <v>37</v>
      </c>
      <c r="B22" s="5"/>
      <c r="C22" s="5"/>
      <c r="D22" s="6"/>
      <c r="E22" s="7"/>
      <c r="F22" s="8"/>
      <c r="G22" s="5"/>
      <c r="H22" s="5"/>
      <c r="I22" s="4">
        <f>IF(E22="","",IF(E22&lt;25000,"Micro",IF(E22&lt;100000,"Small",IF(E22&lt;250000,"Medium",IF(E22&lt;1000000,"Large","Metro")))))</f>
      </c>
      <c r="J22" s="6"/>
      <c r="K22" s="6"/>
      <c r="L22" s="6"/>
      <c r="M22" s="6"/>
      <c r="N22" s="7"/>
      <c r="O22" s="5"/>
      <c r="P22" s="5"/>
      <c r="Q22" s="5"/>
      <c r="R22" s="5"/>
    </row>
    <row r="23" spans="1:18" x14ac:dyDescent="0.25">
      <c r="A23" s="4" t="s">
        <v>38</v>
      </c>
      <c r="B23" s="5"/>
      <c r="C23" s="5"/>
      <c r="D23" s="6"/>
      <c r="E23" s="7"/>
      <c r="F23" s="8"/>
      <c r="G23" s="5"/>
      <c r="H23" s="5"/>
      <c r="I23" s="4">
        <f>IF(E23="","",IF(E23&lt;25000,"Micro",IF(E23&lt;100000,"Small",IF(E23&lt;250000,"Medium",IF(E23&lt;1000000,"Large","Metro")))))</f>
      </c>
      <c r="J23" s="6"/>
      <c r="K23" s="6"/>
      <c r="L23" s="6"/>
      <c r="M23" s="6"/>
      <c r="N23" s="7"/>
      <c r="O23" s="5"/>
      <c r="P23" s="5"/>
      <c r="Q23" s="5"/>
      <c r="R23" s="5"/>
    </row>
    <row r="24" spans="1:18" x14ac:dyDescent="0.25">
      <c r="A24" s="4" t="s">
        <v>39</v>
      </c>
      <c r="B24" s="5"/>
      <c r="C24" s="5"/>
      <c r="D24" s="6"/>
      <c r="E24" s="7"/>
      <c r="F24" s="8"/>
      <c r="G24" s="5"/>
      <c r="H24" s="5"/>
      <c r="I24" s="4">
        <f>IF(E24="","",IF(E24&lt;25000,"Micro",IF(E24&lt;100000,"Small",IF(E24&lt;250000,"Medium",IF(E24&lt;1000000,"Large","Metro")))))</f>
      </c>
      <c r="J24" s="6"/>
      <c r="K24" s="6"/>
      <c r="L24" s="6"/>
      <c r="M24" s="6"/>
      <c r="N24" s="7"/>
      <c r="O24" s="5"/>
      <c r="P24" s="5"/>
      <c r="Q24" s="5"/>
      <c r="R24" s="5"/>
    </row>
  </sheetData>
  <mergeCells count="2">
    <mergeCell ref="A1:R1"/>
    <mergeCell ref="A2:R2"/>
  </mergeCells>
  <dataValidations count="16">
    <dataValidation type="list" allowBlank="1" showErrorMessage="1" sqref="B10:B24">
      <formula1>"New England,Mid-Atlantic,South-East,South-West,Rocky Mountain,Pacific Coast,Midwest"</formula1>
    </dataValidation>
    <dataValidation type="list" allowBlank="1" showErrorMessage="1" sqref="B5:B24">
      <formula1>"New England,Mid-Atlantic,South-East,South-West,Rocky Mountain,Pacific Coast,Midwest"</formula1>
    </dataValidation>
    <dataValidation type="list" allowBlank="1" showErrorMessage="1" sqref="C10:C24">
      <formula1>"AL,AK,AZ,AR,CA,CO,CT,DE,FL,GA,HI,ID,IL,IN,IA,KS,KY,LA,ME,MD,MA,MI,MN,MS,MO,MT,NE,NV,NH,NJ,NM,NY,NC,ND,OH,OK,OR,PA,RI,SC,SD,TN,TX,UT,VT,VA,WA,WV,WI,WY"</formula1>
    </dataValidation>
    <dataValidation type="list" allowBlank="1" showErrorMessage="1" sqref="C5:C24">
      <formula1>"AL,AK,AZ,AR,CA,CO,CT,DE,FL,GA,HI,ID,IL,IN,IA,KS,KY,LA,ME,MD,MA,MI,MN,MS,MO,MT,NE,NV,NH,NJ,NM,NY,NC,ND,OH,OK,OR,PA,RI,SC,SD,TN,TX,UT,VT,VA,WA,WV,WI,WY"</formula1>
    </dataValidation>
    <dataValidation type="list" allowBlank="1" showErrorMessage="1" sqref="G10:G24">
      <formula1>"Rural,Suburban,Urban,College Town"</formula1>
    </dataValidation>
    <dataValidation type="list" allowBlank="1" showErrorMessage="1" sqref="G5:G24">
      <formula1>"Rural,Suburban,Urban,College Town"</formula1>
    </dataValidation>
    <dataValidation type="list" allowBlank="1" showErrorMessage="1" sqref="H10:H24">
      <formula1>"Agricultural,Industrial,Technical,Service,Tourism,Mixed"</formula1>
    </dataValidation>
    <dataValidation type="list" allowBlank="1" showErrorMessage="1" sqref="H5:H24">
      <formula1>"Agricultural,Industrial,Technical,Service,Tourism,Mixed"</formula1>
    </dataValidation>
    <dataValidation type="list" allowBlank="1" showErrorMessage="1" sqref="O10:O24">
      <formula1>"None,Weak,Moderate,Strong"</formula1>
    </dataValidation>
    <dataValidation type="list" allowBlank="1" showErrorMessage="1" sqref="O5:O24">
      <formula1>"None,Weak,Moderate,Strong"</formula1>
    </dataValidation>
    <dataValidation type="list" allowBlank="1" showErrorMessage="1" sqref="P10:P24">
      <formula1>"None,Contact Only,Active Advocate,Partner"</formula1>
    </dataValidation>
    <dataValidation type="list" allowBlank="1" showErrorMessage="1" sqref="P5:P24">
      <formula1>"None,Contact Only,Active Advocate,Partner"</formula1>
    </dataValidation>
    <dataValidation type="list" allowBlank="1" showErrorMessage="1" sqref="Q10:Q24">
      <formula1>"Very Friendly,Friendly,Moderate,Restrictive,Very Restrictive"</formula1>
    </dataValidation>
    <dataValidation type="list" allowBlank="1" showErrorMessage="1" sqref="Q5:Q24">
      <formula1>"Very Friendly,Friendly,Moderate,Restrictive,Very Restrictive"</formula1>
    </dataValidation>
    <dataValidation type="list" allowBlank="1" showErrorMessage="1" sqref="R10:R24">
      <formula1>"None,Low,Moderate,High,Destination"</formula1>
    </dataValidation>
    <dataValidation type="list" allowBlank="1" showErrorMessage="1" sqref="R5:R24">
      <formula1>"None,Low,Moderate,High,Destination"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P49"/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12" customWidth="1"/>
    <col min="5" max="6" width="14" customWidth="1"/>
    <col min="7" max="7" width="12" customWidth="1"/>
    <col min="8" max="8" width="14" customWidth="1"/>
    <col min="9" max="11" width="12" customWidth="1"/>
    <col min="12" max="13" width="14" customWidth="1"/>
    <col min="14" max="14" width="10" customWidth="1"/>
  </cols>
  <sheetData>
    <row r="1" spans="1:16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0" customHeight="1" spans="1:14" x14ac:dyDescent="0.25">
      <c r="A4" s="3" t="s">
        <v>2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</row>
    <row r="5" spans="1:14" x14ac:dyDescent="0.25">
      <c r="A5" s="10">
        <f>'Market Input'!A5</f>
      </c>
      <c r="B5" s="10">
        <f>'Market Input'!D5</f>
      </c>
      <c r="C5" s="10">
        <f>IF('Market Input'!E5="",0,IF('Market Input'!E5&lt;25000,5,IF('Market Input'!E5&lt;100000,15,IF('Market Input'!E5&lt;250000,30,IF('Market Input'!E5&lt;1000000,50,40)))))</f>
      </c>
      <c r="D5" s="10">
        <f>IF('Market Input'!F5="",0,IF('Market Input'!F5&lt;40000,5,IF('Market Input'!F5&lt;60000,20,IF('Market Input'!F5&lt;80000,40,IF('Market Input'!F5&lt;100000,60,50)))))</f>
      </c>
      <c r="E5" s="10">
        <f>IF(OR('Market Input'!J5="",'Market Input'!E5="",'Market Input'!E5=0),0,LET(density,'Market Input'!J5/'Market Input'!E5*100000,IF(density&lt;2,10,IF(density&lt;5,30,IF(density&lt;8,40,20)))))</f>
      </c>
      <c r="F5" s="10">
        <f>IF('Market Input'!L5="",0,IF('Market Input'!L5&lt;100,5,IF('Market Input'!L5&lt;500,20,IF('Market Input'!L5&lt;1000,35,40))))</f>
      </c>
      <c r="G5" s="10">
        <f>IF('Market Input'!M5="",0,IF('Market Input'!M5&lt;120,10,IF('Market Input'!M5&lt;180,25,IF('Market Input'!M5&lt;240,35,40))))</f>
      </c>
      <c r="H5" s="10">
        <f>IF('Market Input'!G5="",0,IF('Market Input'!G5="Rural",35,IF('Market Input'!G5="Suburban",35,IF('Market Input'!G5="Urban",25,30))))</f>
      </c>
      <c r="I5" s="10">
        <f>IF('Market Input'!H5="",0,IF('Market Input'!H5="Agricultural",40,IF('Market Input'!H5="Mixed",30,IF('Market Input'!H5="Tourism",30,IF('Market Input'!H5="Service",25,IF('Market Input'!H5="Technical",20,15))))))</f>
      </c>
      <c r="J5" s="10">
        <f>IF('Market Input'!R5="",0,IF('Market Input'!R5="None",0,IF('Market Input'!R5="Low",10,IF('Market Input'!R5="Moderate",25,IF('Market Input'!R5="High",35,40)))))</f>
      </c>
      <c r="K5" s="10">
        <f>IF('Market Input'!O5="",0,IF('Market Input'!O5="None",40,IF('Market Input'!O5="Weak",30,IF('Market Input'!O5="Moderate",15,5))))</f>
      </c>
      <c r="L5" s="10">
        <f>IF('Market Input'!P5="",0,IF('Market Input'!P5="None",5,IF('Market Input'!P5="Contact Only",15,IF('Market Input'!P5="Active Advocate",30,40))))</f>
      </c>
      <c r="M5" s="11">
        <f>IF('Market Input'!D5="","",ROUND((C5*0.15+D5*0.15+E5*0.15+F5*0.15+G5*0.10+H5*0.10+I5*0.05+J5*0.05+K5*0.05+L5*0.05)/40*100,0))</f>
      </c>
      <c r="N5" s="12">
        <f>IF(M5="","",IF(M5&gt;=80,"A",IF(M5&gt;=65,"B",IF(M5&gt;=50,"C",IF(M5&gt;=35,"D","F")))))</f>
      </c>
    </row>
    <row r="6" spans="1:14" x14ac:dyDescent="0.25">
      <c r="A6" s="10">
        <f>'Market Input'!A6</f>
      </c>
      <c r="B6" s="10">
        <f>'Market Input'!D6</f>
      </c>
      <c r="C6" s="10">
        <f>IF('Market Input'!E6="",0,IF('Market Input'!E6&lt;25000,5,IF('Market Input'!E6&lt;100000,15,IF('Market Input'!E6&lt;250000,30,IF('Market Input'!E6&lt;1000000,50,40)))))</f>
      </c>
      <c r="D6" s="10">
        <f>IF('Market Input'!F6="",0,IF('Market Input'!F6&lt;40000,5,IF('Market Input'!F6&lt;60000,20,IF('Market Input'!F6&lt;80000,40,IF('Market Input'!F6&lt;100000,60,50)))))</f>
      </c>
      <c r="E6" s="10">
        <f>IF(OR('Market Input'!J6="",'Market Input'!E6="",'Market Input'!E6=0),0,LET(density,'Market Input'!J6/'Market Input'!E6*100000,IF(density&lt;2,10,IF(density&lt;5,30,IF(density&lt;8,40,20)))))</f>
      </c>
      <c r="F6" s="10">
        <f>IF('Market Input'!L6="",0,IF('Market Input'!L6&lt;100,5,IF('Market Input'!L6&lt;500,20,IF('Market Input'!L6&lt;1000,35,40))))</f>
      </c>
      <c r="G6" s="10">
        <f>IF('Market Input'!M6="",0,IF('Market Input'!M6&lt;120,10,IF('Market Input'!M6&lt;180,25,IF('Market Input'!M6&lt;240,35,40))))</f>
      </c>
      <c r="H6" s="10">
        <f>IF('Market Input'!G6="",0,IF('Market Input'!G6="Rural",35,IF('Market Input'!G6="Suburban",35,IF('Market Input'!G6="Urban",25,30))))</f>
      </c>
      <c r="I6" s="10">
        <f>IF('Market Input'!H6="",0,IF('Market Input'!H6="Agricultural",40,IF('Market Input'!H6="Mixed",30,IF('Market Input'!H6="Tourism",30,IF('Market Input'!H6="Service",25,IF('Market Input'!H6="Technical",20,15))))))</f>
      </c>
      <c r="J6" s="10">
        <f>IF('Market Input'!R6="",0,IF('Market Input'!R6="None",0,IF('Market Input'!R6="Low",10,IF('Market Input'!R6="Moderate",25,IF('Market Input'!R6="High",35,40)))))</f>
      </c>
      <c r="K6" s="10">
        <f>IF('Market Input'!O6="",0,IF('Market Input'!O6="None",40,IF('Market Input'!O6="Weak",30,IF('Market Input'!O6="Moderate",15,5))))</f>
      </c>
      <c r="L6" s="10">
        <f>IF('Market Input'!P6="",0,IF('Market Input'!P6="None",5,IF('Market Input'!P6="Contact Only",15,IF('Market Input'!P6="Active Advocate",30,40))))</f>
      </c>
      <c r="M6" s="11">
        <f>IF('Market Input'!D6="","",ROUND((C6*0.15+D6*0.15+E6*0.15+F6*0.15+G6*0.10+H6*0.10+I6*0.05+J6*0.05+K6*0.05+L6*0.05)/40*100,0))</f>
      </c>
      <c r="N6" s="12">
        <f>IF(M6="","",IF(M6&gt;=80,"A",IF(M6&gt;=65,"B",IF(M6&gt;=50,"C",IF(M6&gt;=35,"D","F")))))</f>
      </c>
    </row>
    <row r="7" spans="1:14" x14ac:dyDescent="0.25">
      <c r="A7" s="10">
        <f>'Market Input'!A7</f>
      </c>
      <c r="B7" s="10">
        <f>'Market Input'!D7</f>
      </c>
      <c r="C7" s="10">
        <f>IF('Market Input'!E7="",0,IF('Market Input'!E7&lt;25000,5,IF('Market Input'!E7&lt;100000,15,IF('Market Input'!E7&lt;250000,30,IF('Market Input'!E7&lt;1000000,50,40)))))</f>
      </c>
      <c r="D7" s="10">
        <f>IF('Market Input'!F7="",0,IF('Market Input'!F7&lt;40000,5,IF('Market Input'!F7&lt;60000,20,IF('Market Input'!F7&lt;80000,40,IF('Market Input'!F7&lt;100000,60,50)))))</f>
      </c>
      <c r="E7" s="10">
        <f>IF(OR('Market Input'!J7="",'Market Input'!E7="",'Market Input'!E7=0),0,LET(density,'Market Input'!J7/'Market Input'!E7*100000,IF(density&lt;2,10,IF(density&lt;5,30,IF(density&lt;8,40,20)))))</f>
      </c>
      <c r="F7" s="10">
        <f>IF('Market Input'!L7="",0,IF('Market Input'!L7&lt;100,5,IF('Market Input'!L7&lt;500,20,IF('Market Input'!L7&lt;1000,35,40))))</f>
      </c>
      <c r="G7" s="10">
        <f>IF('Market Input'!M7="",0,IF('Market Input'!M7&lt;120,10,IF('Market Input'!M7&lt;180,25,IF('Market Input'!M7&lt;240,35,40))))</f>
      </c>
      <c r="H7" s="10">
        <f>IF('Market Input'!G7="",0,IF('Market Input'!G7="Rural",35,IF('Market Input'!G7="Suburban",35,IF('Market Input'!G7="Urban",25,30))))</f>
      </c>
      <c r="I7" s="10">
        <f>IF('Market Input'!H7="",0,IF('Market Input'!H7="Agricultural",40,IF('Market Input'!H7="Mixed",30,IF('Market Input'!H7="Tourism",30,IF('Market Input'!H7="Service",25,IF('Market Input'!H7="Technical",20,15))))))</f>
      </c>
      <c r="J7" s="10">
        <f>IF('Market Input'!R7="",0,IF('Market Input'!R7="None",0,IF('Market Input'!R7="Low",10,IF('Market Input'!R7="Moderate",25,IF('Market Input'!R7="High",35,40)))))</f>
      </c>
      <c r="K7" s="10">
        <f>IF('Market Input'!O7="",0,IF('Market Input'!O7="None",40,IF('Market Input'!O7="Weak",30,IF('Market Input'!O7="Moderate",15,5))))</f>
      </c>
      <c r="L7" s="10">
        <f>IF('Market Input'!P7="",0,IF('Market Input'!P7="None",5,IF('Market Input'!P7="Contact Only",15,IF('Market Input'!P7="Active Advocate",30,40))))</f>
      </c>
      <c r="M7" s="11">
        <f>IF('Market Input'!D7="","",ROUND((C7*0.15+D7*0.15+E7*0.15+F7*0.15+G7*0.10+H7*0.10+I7*0.05+J7*0.05+K7*0.05+L7*0.05)/40*100,0))</f>
      </c>
      <c r="N7" s="12">
        <f>IF(M7="","",IF(M7&gt;=80,"A",IF(M7&gt;=65,"B",IF(M7&gt;=50,"C",IF(M7&gt;=35,"D","F")))))</f>
      </c>
    </row>
    <row r="8" spans="1:14" x14ac:dyDescent="0.25">
      <c r="A8" s="10">
        <f>'Market Input'!A8</f>
      </c>
      <c r="B8" s="10">
        <f>'Market Input'!D8</f>
      </c>
      <c r="C8" s="10">
        <f>IF('Market Input'!E8="",0,IF('Market Input'!E8&lt;25000,5,IF('Market Input'!E8&lt;100000,15,IF('Market Input'!E8&lt;250000,30,IF('Market Input'!E8&lt;1000000,50,40)))))</f>
      </c>
      <c r="D8" s="10">
        <f>IF('Market Input'!F8="",0,IF('Market Input'!F8&lt;40000,5,IF('Market Input'!F8&lt;60000,20,IF('Market Input'!F8&lt;80000,40,IF('Market Input'!F8&lt;100000,60,50)))))</f>
      </c>
      <c r="E8" s="10">
        <f>IF(OR('Market Input'!J8="",'Market Input'!E8="",'Market Input'!E8=0),0,LET(density,'Market Input'!J8/'Market Input'!E8*100000,IF(density&lt;2,10,IF(density&lt;5,30,IF(density&lt;8,40,20)))))</f>
      </c>
      <c r="F8" s="10">
        <f>IF('Market Input'!L8="",0,IF('Market Input'!L8&lt;100,5,IF('Market Input'!L8&lt;500,20,IF('Market Input'!L8&lt;1000,35,40))))</f>
      </c>
      <c r="G8" s="10">
        <f>IF('Market Input'!M8="",0,IF('Market Input'!M8&lt;120,10,IF('Market Input'!M8&lt;180,25,IF('Market Input'!M8&lt;240,35,40))))</f>
      </c>
      <c r="H8" s="10">
        <f>IF('Market Input'!G8="",0,IF('Market Input'!G8="Rural",35,IF('Market Input'!G8="Suburban",35,IF('Market Input'!G8="Urban",25,30))))</f>
      </c>
      <c r="I8" s="10">
        <f>IF('Market Input'!H8="",0,IF('Market Input'!H8="Agricultural",40,IF('Market Input'!H8="Mixed",30,IF('Market Input'!H8="Tourism",30,IF('Market Input'!H8="Service",25,IF('Market Input'!H8="Technical",20,15))))))</f>
      </c>
      <c r="J8" s="10">
        <f>IF('Market Input'!R8="",0,IF('Market Input'!R8="None",0,IF('Market Input'!R8="Low",10,IF('Market Input'!R8="Moderate",25,IF('Market Input'!R8="High",35,40)))))</f>
      </c>
      <c r="K8" s="10">
        <f>IF('Market Input'!O8="",0,IF('Market Input'!O8="None",40,IF('Market Input'!O8="Weak",30,IF('Market Input'!O8="Moderate",15,5))))</f>
      </c>
      <c r="L8" s="10">
        <f>IF('Market Input'!P8="",0,IF('Market Input'!P8="None",5,IF('Market Input'!P8="Contact Only",15,IF('Market Input'!P8="Active Advocate",30,40))))</f>
      </c>
      <c r="M8" s="11">
        <f>IF('Market Input'!D8="","",ROUND((C8*0.15+D8*0.15+E8*0.15+F8*0.15+G8*0.10+H8*0.10+I8*0.05+J8*0.05+K8*0.05+L8*0.05)/40*100,0))</f>
      </c>
      <c r="N8" s="12">
        <f>IF(M8="","",IF(M8&gt;=80,"A",IF(M8&gt;=65,"B",IF(M8&gt;=50,"C",IF(M8&gt;=35,"D","F")))))</f>
      </c>
    </row>
    <row r="9" spans="1:14" x14ac:dyDescent="0.25">
      <c r="A9" s="10">
        <f>'Market Input'!A9</f>
      </c>
      <c r="B9" s="10">
        <f>'Market Input'!D9</f>
      </c>
      <c r="C9" s="10">
        <f>IF('Market Input'!E9="",0,IF('Market Input'!E9&lt;25000,5,IF('Market Input'!E9&lt;100000,15,IF('Market Input'!E9&lt;250000,30,IF('Market Input'!E9&lt;1000000,50,40)))))</f>
      </c>
      <c r="D9" s="10">
        <f>IF('Market Input'!F9="",0,IF('Market Input'!F9&lt;40000,5,IF('Market Input'!F9&lt;60000,20,IF('Market Input'!F9&lt;80000,40,IF('Market Input'!F9&lt;100000,60,50)))))</f>
      </c>
      <c r="E9" s="10">
        <f>IF(OR('Market Input'!J9="",'Market Input'!E9="",'Market Input'!E9=0),0,LET(density,'Market Input'!J9/'Market Input'!E9*100000,IF(density&lt;2,10,IF(density&lt;5,30,IF(density&lt;8,40,20)))))</f>
      </c>
      <c r="F9" s="10">
        <f>IF('Market Input'!L9="",0,IF('Market Input'!L9&lt;100,5,IF('Market Input'!L9&lt;500,20,IF('Market Input'!L9&lt;1000,35,40))))</f>
      </c>
      <c r="G9" s="10">
        <f>IF('Market Input'!M9="",0,IF('Market Input'!M9&lt;120,10,IF('Market Input'!M9&lt;180,25,IF('Market Input'!M9&lt;240,35,40))))</f>
      </c>
      <c r="H9" s="10">
        <f>IF('Market Input'!G9="",0,IF('Market Input'!G9="Rural",35,IF('Market Input'!G9="Suburban",35,IF('Market Input'!G9="Urban",25,30))))</f>
      </c>
      <c r="I9" s="10">
        <f>IF('Market Input'!H9="",0,IF('Market Input'!H9="Agricultural",40,IF('Market Input'!H9="Mixed",30,IF('Market Input'!H9="Tourism",30,IF('Market Input'!H9="Service",25,IF('Market Input'!H9="Technical",20,15))))))</f>
      </c>
      <c r="J9" s="10">
        <f>IF('Market Input'!R9="",0,IF('Market Input'!R9="None",0,IF('Market Input'!R9="Low",10,IF('Market Input'!R9="Moderate",25,IF('Market Input'!R9="High",35,40)))))</f>
      </c>
      <c r="K9" s="10">
        <f>IF('Market Input'!O9="",0,IF('Market Input'!O9="None",40,IF('Market Input'!O9="Weak",30,IF('Market Input'!O9="Moderate",15,5))))</f>
      </c>
      <c r="L9" s="10">
        <f>IF('Market Input'!P9="",0,IF('Market Input'!P9="None",5,IF('Market Input'!P9="Contact Only",15,IF('Market Input'!P9="Active Advocate",30,40))))</f>
      </c>
      <c r="M9" s="11">
        <f>IF('Market Input'!D9="","",ROUND((C9*0.15+D9*0.15+E9*0.15+F9*0.15+G9*0.10+H9*0.10+I9*0.05+J9*0.05+K9*0.05+L9*0.05)/40*100,0))</f>
      </c>
      <c r="N9" s="12">
        <f>IF(M9="","",IF(M9&gt;=80,"A",IF(M9&gt;=65,"B",IF(M9&gt;=50,"C",IF(M9&gt;=35,"D","F")))))</f>
      </c>
    </row>
    <row r="10" spans="1:14" x14ac:dyDescent="0.25">
      <c r="A10" s="10">
        <f>'Market Input'!A10</f>
      </c>
      <c r="B10" s="10">
        <f>'Market Input'!D10</f>
      </c>
      <c r="C10" s="10">
        <f>IF('Market Input'!E10="",0,IF('Market Input'!E10&lt;25000,5,IF('Market Input'!E10&lt;100000,15,IF('Market Input'!E10&lt;250000,30,IF('Market Input'!E10&lt;1000000,50,40)))))</f>
      </c>
      <c r="D10" s="10">
        <f>IF('Market Input'!F10="",0,IF('Market Input'!F10&lt;40000,5,IF('Market Input'!F10&lt;60000,20,IF('Market Input'!F10&lt;80000,40,IF('Market Input'!F10&lt;100000,60,50)))))</f>
      </c>
      <c r="E10" s="10">
        <f>IF(OR('Market Input'!J10="",'Market Input'!E10="",'Market Input'!E10=0),0,LET(density,'Market Input'!J10/'Market Input'!E10*100000,IF(density&lt;2,10,IF(density&lt;5,30,IF(density&lt;8,40,20)))))</f>
      </c>
      <c r="F10" s="10">
        <f>IF('Market Input'!L10="",0,IF('Market Input'!L10&lt;100,5,IF('Market Input'!L10&lt;500,20,IF('Market Input'!L10&lt;1000,35,40))))</f>
      </c>
      <c r="G10" s="10">
        <f>IF('Market Input'!M10="",0,IF('Market Input'!M10&lt;120,10,IF('Market Input'!M10&lt;180,25,IF('Market Input'!M10&lt;240,35,40))))</f>
      </c>
      <c r="H10" s="10">
        <f>IF('Market Input'!G10="",0,IF('Market Input'!G10="Rural",35,IF('Market Input'!G10="Suburban",35,IF('Market Input'!G10="Urban",25,30))))</f>
      </c>
      <c r="I10" s="10">
        <f>IF('Market Input'!H10="",0,IF('Market Input'!H10="Agricultural",40,IF('Market Input'!H10="Mixed",30,IF('Market Input'!H10="Tourism",30,IF('Market Input'!H10="Service",25,IF('Market Input'!H10="Technical",20,15))))))</f>
      </c>
      <c r="J10" s="10">
        <f>IF('Market Input'!R10="",0,IF('Market Input'!R10="None",0,IF('Market Input'!R10="Low",10,IF('Market Input'!R10="Moderate",25,IF('Market Input'!R10="High",35,40)))))</f>
      </c>
      <c r="K10" s="10">
        <f>IF('Market Input'!O10="",0,IF('Market Input'!O10="None",40,IF('Market Input'!O10="Weak",30,IF('Market Input'!O10="Moderate",15,5))))</f>
      </c>
      <c r="L10" s="10">
        <f>IF('Market Input'!P10="",0,IF('Market Input'!P10="None",5,IF('Market Input'!P10="Contact Only",15,IF('Market Input'!P10="Active Advocate",30,40))))</f>
      </c>
      <c r="M10" s="11">
        <f>IF('Market Input'!D10="","",ROUND((C10*0.15+D10*0.15+E10*0.15+F10*0.15+G10*0.10+H10*0.10+I10*0.05+J10*0.05+K10*0.05+L10*0.05)/40*100,0))</f>
      </c>
      <c r="N10" s="12">
        <f>IF(M10="","",IF(M10&gt;=80,"A",IF(M10&gt;=65,"B",IF(M10&gt;=50,"C",IF(M10&gt;=35,"D","F")))))</f>
      </c>
    </row>
    <row r="11" spans="1:14" x14ac:dyDescent="0.25">
      <c r="A11" s="10">
        <f>'Market Input'!A11</f>
      </c>
      <c r="B11" s="10">
        <f>'Market Input'!D11</f>
      </c>
      <c r="C11" s="10">
        <f>IF('Market Input'!E11="",0,IF('Market Input'!E11&lt;25000,5,IF('Market Input'!E11&lt;100000,15,IF('Market Input'!E11&lt;250000,30,IF('Market Input'!E11&lt;1000000,50,40)))))</f>
      </c>
      <c r="D11" s="10">
        <f>IF('Market Input'!F11="",0,IF('Market Input'!F11&lt;40000,5,IF('Market Input'!F11&lt;60000,20,IF('Market Input'!F11&lt;80000,40,IF('Market Input'!F11&lt;100000,60,50)))))</f>
      </c>
      <c r="E11" s="10">
        <f>IF(OR('Market Input'!J11="",'Market Input'!E11="",'Market Input'!E11=0),0,LET(density,'Market Input'!J11/'Market Input'!E11*100000,IF(density&lt;2,10,IF(density&lt;5,30,IF(density&lt;8,40,20)))))</f>
      </c>
      <c r="F11" s="10">
        <f>IF('Market Input'!L11="",0,IF('Market Input'!L11&lt;100,5,IF('Market Input'!L11&lt;500,20,IF('Market Input'!L11&lt;1000,35,40))))</f>
      </c>
      <c r="G11" s="10">
        <f>IF('Market Input'!M11="",0,IF('Market Input'!M11&lt;120,10,IF('Market Input'!M11&lt;180,25,IF('Market Input'!M11&lt;240,35,40))))</f>
      </c>
      <c r="H11" s="10">
        <f>IF('Market Input'!G11="",0,IF('Market Input'!G11="Rural",35,IF('Market Input'!G11="Suburban",35,IF('Market Input'!G11="Urban",25,30))))</f>
      </c>
      <c r="I11" s="10">
        <f>IF('Market Input'!H11="",0,IF('Market Input'!H11="Agricultural",40,IF('Market Input'!H11="Mixed",30,IF('Market Input'!H11="Tourism",30,IF('Market Input'!H11="Service",25,IF('Market Input'!H11="Technical",20,15))))))</f>
      </c>
      <c r="J11" s="10">
        <f>IF('Market Input'!R11="",0,IF('Market Input'!R11="None",0,IF('Market Input'!R11="Low",10,IF('Market Input'!R11="Moderate",25,IF('Market Input'!R11="High",35,40)))))</f>
      </c>
      <c r="K11" s="10">
        <f>IF('Market Input'!O11="",0,IF('Market Input'!O11="None",40,IF('Market Input'!O11="Weak",30,IF('Market Input'!O11="Moderate",15,5))))</f>
      </c>
      <c r="L11" s="10">
        <f>IF('Market Input'!P11="",0,IF('Market Input'!P11="None",5,IF('Market Input'!P11="Contact Only",15,IF('Market Input'!P11="Active Advocate",30,40))))</f>
      </c>
      <c r="M11" s="11">
        <f>IF('Market Input'!D11="","",ROUND((C11*0.15+D11*0.15+E11*0.15+F11*0.15+G11*0.10+H11*0.10+I11*0.05+J11*0.05+K11*0.05+L11*0.05)/40*100,0))</f>
      </c>
      <c r="N11" s="12">
        <f>IF(M11="","",IF(M11&gt;=80,"A",IF(M11&gt;=65,"B",IF(M11&gt;=50,"C",IF(M11&gt;=35,"D","F")))))</f>
      </c>
    </row>
    <row r="12" spans="1:14" x14ac:dyDescent="0.25">
      <c r="A12" s="10">
        <f>'Market Input'!A12</f>
      </c>
      <c r="B12" s="10">
        <f>'Market Input'!D12</f>
      </c>
      <c r="C12" s="10">
        <f>IF('Market Input'!E12="",0,IF('Market Input'!E12&lt;25000,5,IF('Market Input'!E12&lt;100000,15,IF('Market Input'!E12&lt;250000,30,IF('Market Input'!E12&lt;1000000,50,40)))))</f>
      </c>
      <c r="D12" s="10">
        <f>IF('Market Input'!F12="",0,IF('Market Input'!F12&lt;40000,5,IF('Market Input'!F12&lt;60000,20,IF('Market Input'!F12&lt;80000,40,IF('Market Input'!F12&lt;100000,60,50)))))</f>
      </c>
      <c r="E12" s="10">
        <f>IF(OR('Market Input'!J12="",'Market Input'!E12="",'Market Input'!E12=0),0,LET(density,'Market Input'!J12/'Market Input'!E12*100000,IF(density&lt;2,10,IF(density&lt;5,30,IF(density&lt;8,40,20)))))</f>
      </c>
      <c r="F12" s="10">
        <f>IF('Market Input'!L12="",0,IF('Market Input'!L12&lt;100,5,IF('Market Input'!L12&lt;500,20,IF('Market Input'!L12&lt;1000,35,40))))</f>
      </c>
      <c r="G12" s="10">
        <f>IF('Market Input'!M12="",0,IF('Market Input'!M12&lt;120,10,IF('Market Input'!M12&lt;180,25,IF('Market Input'!M12&lt;240,35,40))))</f>
      </c>
      <c r="H12" s="10">
        <f>IF('Market Input'!G12="",0,IF('Market Input'!G12="Rural",35,IF('Market Input'!G12="Suburban",35,IF('Market Input'!G12="Urban",25,30))))</f>
      </c>
      <c r="I12" s="10">
        <f>IF('Market Input'!H12="",0,IF('Market Input'!H12="Agricultural",40,IF('Market Input'!H12="Mixed",30,IF('Market Input'!H12="Tourism",30,IF('Market Input'!H12="Service",25,IF('Market Input'!H12="Technical",20,15))))))</f>
      </c>
      <c r="J12" s="10">
        <f>IF('Market Input'!R12="",0,IF('Market Input'!R12="None",0,IF('Market Input'!R12="Low",10,IF('Market Input'!R12="Moderate",25,IF('Market Input'!R12="High",35,40)))))</f>
      </c>
      <c r="K12" s="10">
        <f>IF('Market Input'!O12="",0,IF('Market Input'!O12="None",40,IF('Market Input'!O12="Weak",30,IF('Market Input'!O12="Moderate",15,5))))</f>
      </c>
      <c r="L12" s="10">
        <f>IF('Market Input'!P12="",0,IF('Market Input'!P12="None",5,IF('Market Input'!P12="Contact Only",15,IF('Market Input'!P12="Active Advocate",30,40))))</f>
      </c>
      <c r="M12" s="11">
        <f>IF('Market Input'!D12="","",ROUND((C12*0.15+D12*0.15+E12*0.15+F12*0.15+G12*0.10+H12*0.10+I12*0.05+J12*0.05+K12*0.05+L12*0.05)/40*100,0))</f>
      </c>
      <c r="N12" s="12">
        <f>IF(M12="","",IF(M12&gt;=80,"A",IF(M12&gt;=65,"B",IF(M12&gt;=50,"C",IF(M12&gt;=35,"D","F")))))</f>
      </c>
    </row>
    <row r="13" spans="1:14" x14ac:dyDescent="0.25">
      <c r="A13" s="10">
        <f>'Market Input'!A13</f>
      </c>
      <c r="B13" s="10">
        <f>'Market Input'!D13</f>
      </c>
      <c r="C13" s="10">
        <f>IF('Market Input'!E13="",0,IF('Market Input'!E13&lt;25000,5,IF('Market Input'!E13&lt;100000,15,IF('Market Input'!E13&lt;250000,30,IF('Market Input'!E13&lt;1000000,50,40)))))</f>
      </c>
      <c r="D13" s="10">
        <f>IF('Market Input'!F13="",0,IF('Market Input'!F13&lt;40000,5,IF('Market Input'!F13&lt;60000,20,IF('Market Input'!F13&lt;80000,40,IF('Market Input'!F13&lt;100000,60,50)))))</f>
      </c>
      <c r="E13" s="10">
        <f>IF(OR('Market Input'!J13="",'Market Input'!E13="",'Market Input'!E13=0),0,LET(density,'Market Input'!J13/'Market Input'!E13*100000,IF(density&lt;2,10,IF(density&lt;5,30,IF(density&lt;8,40,20)))))</f>
      </c>
      <c r="F13" s="10">
        <f>IF('Market Input'!L13="",0,IF('Market Input'!L13&lt;100,5,IF('Market Input'!L13&lt;500,20,IF('Market Input'!L13&lt;1000,35,40))))</f>
      </c>
      <c r="G13" s="10">
        <f>IF('Market Input'!M13="",0,IF('Market Input'!M13&lt;120,10,IF('Market Input'!M13&lt;180,25,IF('Market Input'!M13&lt;240,35,40))))</f>
      </c>
      <c r="H13" s="10">
        <f>IF('Market Input'!G13="",0,IF('Market Input'!G13="Rural",35,IF('Market Input'!G13="Suburban",35,IF('Market Input'!G13="Urban",25,30))))</f>
      </c>
      <c r="I13" s="10">
        <f>IF('Market Input'!H13="",0,IF('Market Input'!H13="Agricultural",40,IF('Market Input'!H13="Mixed",30,IF('Market Input'!H13="Tourism",30,IF('Market Input'!H13="Service",25,IF('Market Input'!H13="Technical",20,15))))))</f>
      </c>
      <c r="J13" s="10">
        <f>IF('Market Input'!R13="",0,IF('Market Input'!R13="None",0,IF('Market Input'!R13="Low",10,IF('Market Input'!R13="Moderate",25,IF('Market Input'!R13="High",35,40)))))</f>
      </c>
      <c r="K13" s="10">
        <f>IF('Market Input'!O13="",0,IF('Market Input'!O13="None",40,IF('Market Input'!O13="Weak",30,IF('Market Input'!O13="Moderate",15,5))))</f>
      </c>
      <c r="L13" s="10">
        <f>IF('Market Input'!P13="",0,IF('Market Input'!P13="None",5,IF('Market Input'!P13="Contact Only",15,IF('Market Input'!P13="Active Advocate",30,40))))</f>
      </c>
      <c r="M13" s="11">
        <f>IF('Market Input'!D13="","",ROUND((C13*0.15+D13*0.15+E13*0.15+F13*0.15+G13*0.10+H13*0.10+I13*0.05+J13*0.05+K13*0.05+L13*0.05)/40*100,0))</f>
      </c>
      <c r="N13" s="12">
        <f>IF(M13="","",IF(M13&gt;=80,"A",IF(M13&gt;=65,"B",IF(M13&gt;=50,"C",IF(M13&gt;=35,"D","F")))))</f>
      </c>
    </row>
    <row r="14" spans="1:14" x14ac:dyDescent="0.25">
      <c r="A14" s="10">
        <f>'Market Input'!A14</f>
      </c>
      <c r="B14" s="10">
        <f>'Market Input'!D14</f>
      </c>
      <c r="C14" s="10">
        <f>IF('Market Input'!E14="",0,IF('Market Input'!E14&lt;25000,5,IF('Market Input'!E14&lt;100000,15,IF('Market Input'!E14&lt;250000,30,IF('Market Input'!E14&lt;1000000,50,40)))))</f>
      </c>
      <c r="D14" s="10">
        <f>IF('Market Input'!F14="",0,IF('Market Input'!F14&lt;40000,5,IF('Market Input'!F14&lt;60000,20,IF('Market Input'!F14&lt;80000,40,IF('Market Input'!F14&lt;100000,60,50)))))</f>
      </c>
      <c r="E14" s="10">
        <f>IF(OR('Market Input'!J14="",'Market Input'!E14="",'Market Input'!E14=0),0,LET(density,'Market Input'!J14/'Market Input'!E14*100000,IF(density&lt;2,10,IF(density&lt;5,30,IF(density&lt;8,40,20)))))</f>
      </c>
      <c r="F14" s="10">
        <f>IF('Market Input'!L14="",0,IF('Market Input'!L14&lt;100,5,IF('Market Input'!L14&lt;500,20,IF('Market Input'!L14&lt;1000,35,40))))</f>
      </c>
      <c r="G14" s="10">
        <f>IF('Market Input'!M14="",0,IF('Market Input'!M14&lt;120,10,IF('Market Input'!M14&lt;180,25,IF('Market Input'!M14&lt;240,35,40))))</f>
      </c>
      <c r="H14" s="10">
        <f>IF('Market Input'!G14="",0,IF('Market Input'!G14="Rural",35,IF('Market Input'!G14="Suburban",35,IF('Market Input'!G14="Urban",25,30))))</f>
      </c>
      <c r="I14" s="10">
        <f>IF('Market Input'!H14="",0,IF('Market Input'!H14="Agricultural",40,IF('Market Input'!H14="Mixed",30,IF('Market Input'!H14="Tourism",30,IF('Market Input'!H14="Service",25,IF('Market Input'!H14="Technical",20,15))))))</f>
      </c>
      <c r="J14" s="10">
        <f>IF('Market Input'!R14="",0,IF('Market Input'!R14="None",0,IF('Market Input'!R14="Low",10,IF('Market Input'!R14="Moderate",25,IF('Market Input'!R14="High",35,40)))))</f>
      </c>
      <c r="K14" s="10">
        <f>IF('Market Input'!O14="",0,IF('Market Input'!O14="None",40,IF('Market Input'!O14="Weak",30,IF('Market Input'!O14="Moderate",15,5))))</f>
      </c>
      <c r="L14" s="10">
        <f>IF('Market Input'!P14="",0,IF('Market Input'!P14="None",5,IF('Market Input'!P14="Contact Only",15,IF('Market Input'!P14="Active Advocate",30,40))))</f>
      </c>
      <c r="M14" s="11">
        <f>IF('Market Input'!D14="","",ROUND((C14*0.15+D14*0.15+E14*0.15+F14*0.15+G14*0.10+H14*0.10+I14*0.05+J14*0.05+K14*0.05+L14*0.05)/40*100,0))</f>
      </c>
      <c r="N14" s="12">
        <f>IF(M14="","",IF(M14&gt;=80,"A",IF(M14&gt;=65,"B",IF(M14&gt;=50,"C",IF(M14&gt;=35,"D","F")))))</f>
      </c>
    </row>
    <row r="15" spans="1:14" x14ac:dyDescent="0.25">
      <c r="A15" s="10">
        <f>'Market Input'!A15</f>
      </c>
      <c r="B15" s="10">
        <f>'Market Input'!D15</f>
      </c>
      <c r="C15" s="10">
        <f>IF('Market Input'!E15="",0,IF('Market Input'!E15&lt;25000,5,IF('Market Input'!E15&lt;100000,15,IF('Market Input'!E15&lt;250000,30,IF('Market Input'!E15&lt;1000000,50,40)))))</f>
      </c>
      <c r="D15" s="10">
        <f>IF('Market Input'!F15="",0,IF('Market Input'!F15&lt;40000,5,IF('Market Input'!F15&lt;60000,20,IF('Market Input'!F15&lt;80000,40,IF('Market Input'!F15&lt;100000,60,50)))))</f>
      </c>
      <c r="E15" s="10">
        <f>IF(OR('Market Input'!J15="",'Market Input'!E15="",'Market Input'!E15=0),0,LET(density,'Market Input'!J15/'Market Input'!E15*100000,IF(density&lt;2,10,IF(density&lt;5,30,IF(density&lt;8,40,20)))))</f>
      </c>
      <c r="F15" s="10">
        <f>IF('Market Input'!L15="",0,IF('Market Input'!L15&lt;100,5,IF('Market Input'!L15&lt;500,20,IF('Market Input'!L15&lt;1000,35,40))))</f>
      </c>
      <c r="G15" s="10">
        <f>IF('Market Input'!M15="",0,IF('Market Input'!M15&lt;120,10,IF('Market Input'!M15&lt;180,25,IF('Market Input'!M15&lt;240,35,40))))</f>
      </c>
      <c r="H15" s="10">
        <f>IF('Market Input'!G15="",0,IF('Market Input'!G15="Rural",35,IF('Market Input'!G15="Suburban",35,IF('Market Input'!G15="Urban",25,30))))</f>
      </c>
      <c r="I15" s="10">
        <f>IF('Market Input'!H15="",0,IF('Market Input'!H15="Agricultural",40,IF('Market Input'!H15="Mixed",30,IF('Market Input'!H15="Tourism",30,IF('Market Input'!H15="Service",25,IF('Market Input'!H15="Technical",20,15))))))</f>
      </c>
      <c r="J15" s="10">
        <f>IF('Market Input'!R15="",0,IF('Market Input'!R15="None",0,IF('Market Input'!R15="Low",10,IF('Market Input'!R15="Moderate",25,IF('Market Input'!R15="High",35,40)))))</f>
      </c>
      <c r="K15" s="10">
        <f>IF('Market Input'!O15="",0,IF('Market Input'!O15="None",40,IF('Market Input'!O15="Weak",30,IF('Market Input'!O15="Moderate",15,5))))</f>
      </c>
      <c r="L15" s="10">
        <f>IF('Market Input'!P15="",0,IF('Market Input'!P15="None",5,IF('Market Input'!P15="Contact Only",15,IF('Market Input'!P15="Active Advocate",30,40))))</f>
      </c>
      <c r="M15" s="11">
        <f>IF('Market Input'!D15="","",ROUND((C15*0.15+D15*0.15+E15*0.15+F15*0.15+G15*0.10+H15*0.10+I15*0.05+J15*0.05+K15*0.05+L15*0.05)/40*100,0))</f>
      </c>
      <c r="N15" s="12">
        <f>IF(M15="","",IF(M15&gt;=80,"A",IF(M15&gt;=65,"B",IF(M15&gt;=50,"C",IF(M15&gt;=35,"D","F")))))</f>
      </c>
    </row>
    <row r="16" spans="1:14" x14ac:dyDescent="0.25">
      <c r="A16" s="10">
        <f>'Market Input'!A16</f>
      </c>
      <c r="B16" s="10">
        <f>'Market Input'!D16</f>
      </c>
      <c r="C16" s="10">
        <f>IF('Market Input'!E16="",0,IF('Market Input'!E16&lt;25000,5,IF('Market Input'!E16&lt;100000,15,IF('Market Input'!E16&lt;250000,30,IF('Market Input'!E16&lt;1000000,50,40)))))</f>
      </c>
      <c r="D16" s="10">
        <f>IF('Market Input'!F16="",0,IF('Market Input'!F16&lt;40000,5,IF('Market Input'!F16&lt;60000,20,IF('Market Input'!F16&lt;80000,40,IF('Market Input'!F16&lt;100000,60,50)))))</f>
      </c>
      <c r="E16" s="10">
        <f>IF(OR('Market Input'!J16="",'Market Input'!E16="",'Market Input'!E16=0),0,LET(density,'Market Input'!J16/'Market Input'!E16*100000,IF(density&lt;2,10,IF(density&lt;5,30,IF(density&lt;8,40,20)))))</f>
      </c>
      <c r="F16" s="10">
        <f>IF('Market Input'!L16="",0,IF('Market Input'!L16&lt;100,5,IF('Market Input'!L16&lt;500,20,IF('Market Input'!L16&lt;1000,35,40))))</f>
      </c>
      <c r="G16" s="10">
        <f>IF('Market Input'!M16="",0,IF('Market Input'!M16&lt;120,10,IF('Market Input'!M16&lt;180,25,IF('Market Input'!M16&lt;240,35,40))))</f>
      </c>
      <c r="H16" s="10">
        <f>IF('Market Input'!G16="",0,IF('Market Input'!G16="Rural",35,IF('Market Input'!G16="Suburban",35,IF('Market Input'!G16="Urban",25,30))))</f>
      </c>
      <c r="I16" s="10">
        <f>IF('Market Input'!H16="",0,IF('Market Input'!H16="Agricultural",40,IF('Market Input'!H16="Mixed",30,IF('Market Input'!H16="Tourism",30,IF('Market Input'!H16="Service",25,IF('Market Input'!H16="Technical",20,15))))))</f>
      </c>
      <c r="J16" s="10">
        <f>IF('Market Input'!R16="",0,IF('Market Input'!R16="None",0,IF('Market Input'!R16="Low",10,IF('Market Input'!R16="Moderate",25,IF('Market Input'!R16="High",35,40)))))</f>
      </c>
      <c r="K16" s="10">
        <f>IF('Market Input'!O16="",0,IF('Market Input'!O16="None",40,IF('Market Input'!O16="Weak",30,IF('Market Input'!O16="Moderate",15,5))))</f>
      </c>
      <c r="L16" s="10">
        <f>IF('Market Input'!P16="",0,IF('Market Input'!P16="None",5,IF('Market Input'!P16="Contact Only",15,IF('Market Input'!P16="Active Advocate",30,40))))</f>
      </c>
      <c r="M16" s="11">
        <f>IF('Market Input'!D16="","",ROUND((C16*0.15+D16*0.15+E16*0.15+F16*0.15+G16*0.10+H16*0.10+I16*0.05+J16*0.05+K16*0.05+L16*0.05)/40*100,0))</f>
      </c>
      <c r="N16" s="12">
        <f>IF(M16="","",IF(M16&gt;=80,"A",IF(M16&gt;=65,"B",IF(M16&gt;=50,"C",IF(M16&gt;=35,"D","F")))))</f>
      </c>
    </row>
    <row r="17" spans="1:14" x14ac:dyDescent="0.25">
      <c r="A17" s="10">
        <f>'Market Input'!A17</f>
      </c>
      <c r="B17" s="10">
        <f>'Market Input'!D17</f>
      </c>
      <c r="C17" s="10">
        <f>IF('Market Input'!E17="",0,IF('Market Input'!E17&lt;25000,5,IF('Market Input'!E17&lt;100000,15,IF('Market Input'!E17&lt;250000,30,IF('Market Input'!E17&lt;1000000,50,40)))))</f>
      </c>
      <c r="D17" s="10">
        <f>IF('Market Input'!F17="",0,IF('Market Input'!F17&lt;40000,5,IF('Market Input'!F17&lt;60000,20,IF('Market Input'!F17&lt;80000,40,IF('Market Input'!F17&lt;100000,60,50)))))</f>
      </c>
      <c r="E17" s="10">
        <f>IF(OR('Market Input'!J17="",'Market Input'!E17="",'Market Input'!E17=0),0,LET(density,'Market Input'!J17/'Market Input'!E17*100000,IF(density&lt;2,10,IF(density&lt;5,30,IF(density&lt;8,40,20)))))</f>
      </c>
      <c r="F17" s="10">
        <f>IF('Market Input'!L17="",0,IF('Market Input'!L17&lt;100,5,IF('Market Input'!L17&lt;500,20,IF('Market Input'!L17&lt;1000,35,40))))</f>
      </c>
      <c r="G17" s="10">
        <f>IF('Market Input'!M17="",0,IF('Market Input'!M17&lt;120,10,IF('Market Input'!M17&lt;180,25,IF('Market Input'!M17&lt;240,35,40))))</f>
      </c>
      <c r="H17" s="10">
        <f>IF('Market Input'!G17="",0,IF('Market Input'!G17="Rural",35,IF('Market Input'!G17="Suburban",35,IF('Market Input'!G17="Urban",25,30))))</f>
      </c>
      <c r="I17" s="10">
        <f>IF('Market Input'!H17="",0,IF('Market Input'!H17="Agricultural",40,IF('Market Input'!H17="Mixed",30,IF('Market Input'!H17="Tourism",30,IF('Market Input'!H17="Service",25,IF('Market Input'!H17="Technical",20,15))))))</f>
      </c>
      <c r="J17" s="10">
        <f>IF('Market Input'!R17="",0,IF('Market Input'!R17="None",0,IF('Market Input'!R17="Low",10,IF('Market Input'!R17="Moderate",25,IF('Market Input'!R17="High",35,40)))))</f>
      </c>
      <c r="K17" s="10">
        <f>IF('Market Input'!O17="",0,IF('Market Input'!O17="None",40,IF('Market Input'!O17="Weak",30,IF('Market Input'!O17="Moderate",15,5))))</f>
      </c>
      <c r="L17" s="10">
        <f>IF('Market Input'!P17="",0,IF('Market Input'!P17="None",5,IF('Market Input'!P17="Contact Only",15,IF('Market Input'!P17="Active Advocate",30,40))))</f>
      </c>
      <c r="M17" s="11">
        <f>IF('Market Input'!D17="","",ROUND((C17*0.15+D17*0.15+E17*0.15+F17*0.15+G17*0.10+H17*0.10+I17*0.05+J17*0.05+K17*0.05+L17*0.05)/40*100,0))</f>
      </c>
      <c r="N17" s="12">
        <f>IF(M17="","",IF(M17&gt;=80,"A",IF(M17&gt;=65,"B",IF(M17&gt;=50,"C",IF(M17&gt;=35,"D","F")))))</f>
      </c>
    </row>
    <row r="18" spans="1:14" x14ac:dyDescent="0.25">
      <c r="A18" s="10">
        <f>'Market Input'!A18</f>
      </c>
      <c r="B18" s="10">
        <f>'Market Input'!D18</f>
      </c>
      <c r="C18" s="10">
        <f>IF('Market Input'!E18="",0,IF('Market Input'!E18&lt;25000,5,IF('Market Input'!E18&lt;100000,15,IF('Market Input'!E18&lt;250000,30,IF('Market Input'!E18&lt;1000000,50,40)))))</f>
      </c>
      <c r="D18" s="10">
        <f>IF('Market Input'!F18="",0,IF('Market Input'!F18&lt;40000,5,IF('Market Input'!F18&lt;60000,20,IF('Market Input'!F18&lt;80000,40,IF('Market Input'!F18&lt;100000,60,50)))))</f>
      </c>
      <c r="E18" s="10">
        <f>IF(OR('Market Input'!J18="",'Market Input'!E18="",'Market Input'!E18=0),0,LET(density,'Market Input'!J18/'Market Input'!E18*100000,IF(density&lt;2,10,IF(density&lt;5,30,IF(density&lt;8,40,20)))))</f>
      </c>
      <c r="F18" s="10">
        <f>IF('Market Input'!L18="",0,IF('Market Input'!L18&lt;100,5,IF('Market Input'!L18&lt;500,20,IF('Market Input'!L18&lt;1000,35,40))))</f>
      </c>
      <c r="G18" s="10">
        <f>IF('Market Input'!M18="",0,IF('Market Input'!M18&lt;120,10,IF('Market Input'!M18&lt;180,25,IF('Market Input'!M18&lt;240,35,40))))</f>
      </c>
      <c r="H18" s="10">
        <f>IF('Market Input'!G18="",0,IF('Market Input'!G18="Rural",35,IF('Market Input'!G18="Suburban",35,IF('Market Input'!G18="Urban",25,30))))</f>
      </c>
      <c r="I18" s="10">
        <f>IF('Market Input'!H18="",0,IF('Market Input'!H18="Agricultural",40,IF('Market Input'!H18="Mixed",30,IF('Market Input'!H18="Tourism",30,IF('Market Input'!H18="Service",25,IF('Market Input'!H18="Technical",20,15))))))</f>
      </c>
      <c r="J18" s="10">
        <f>IF('Market Input'!R18="",0,IF('Market Input'!R18="None",0,IF('Market Input'!R18="Low",10,IF('Market Input'!R18="Moderate",25,IF('Market Input'!R18="High",35,40)))))</f>
      </c>
      <c r="K18" s="10">
        <f>IF('Market Input'!O18="",0,IF('Market Input'!O18="None",40,IF('Market Input'!O18="Weak",30,IF('Market Input'!O18="Moderate",15,5))))</f>
      </c>
      <c r="L18" s="10">
        <f>IF('Market Input'!P18="",0,IF('Market Input'!P18="None",5,IF('Market Input'!P18="Contact Only",15,IF('Market Input'!P18="Active Advocate",30,40))))</f>
      </c>
      <c r="M18" s="11">
        <f>IF('Market Input'!D18="","",ROUND((C18*0.15+D18*0.15+E18*0.15+F18*0.15+G18*0.10+H18*0.10+I18*0.05+J18*0.05+K18*0.05+L18*0.05)/40*100,0))</f>
      </c>
      <c r="N18" s="12">
        <f>IF(M18="","",IF(M18&gt;=80,"A",IF(M18&gt;=65,"B",IF(M18&gt;=50,"C",IF(M18&gt;=35,"D","F")))))</f>
      </c>
    </row>
    <row r="19" spans="1:14" x14ac:dyDescent="0.25">
      <c r="A19" s="10">
        <f>'Market Input'!A19</f>
      </c>
      <c r="B19" s="10">
        <f>'Market Input'!D19</f>
      </c>
      <c r="C19" s="10">
        <f>IF('Market Input'!E19="",0,IF('Market Input'!E19&lt;25000,5,IF('Market Input'!E19&lt;100000,15,IF('Market Input'!E19&lt;250000,30,IF('Market Input'!E19&lt;1000000,50,40)))))</f>
      </c>
      <c r="D19" s="10">
        <f>IF('Market Input'!F19="",0,IF('Market Input'!F19&lt;40000,5,IF('Market Input'!F19&lt;60000,20,IF('Market Input'!F19&lt;80000,40,IF('Market Input'!F19&lt;100000,60,50)))))</f>
      </c>
      <c r="E19" s="10">
        <f>IF(OR('Market Input'!J19="",'Market Input'!E19="",'Market Input'!E19=0),0,LET(density,'Market Input'!J19/'Market Input'!E19*100000,IF(density&lt;2,10,IF(density&lt;5,30,IF(density&lt;8,40,20)))))</f>
      </c>
      <c r="F19" s="10">
        <f>IF('Market Input'!L19="",0,IF('Market Input'!L19&lt;100,5,IF('Market Input'!L19&lt;500,20,IF('Market Input'!L19&lt;1000,35,40))))</f>
      </c>
      <c r="G19" s="10">
        <f>IF('Market Input'!M19="",0,IF('Market Input'!M19&lt;120,10,IF('Market Input'!M19&lt;180,25,IF('Market Input'!M19&lt;240,35,40))))</f>
      </c>
      <c r="H19" s="10">
        <f>IF('Market Input'!G19="",0,IF('Market Input'!G19="Rural",35,IF('Market Input'!G19="Suburban",35,IF('Market Input'!G19="Urban",25,30))))</f>
      </c>
      <c r="I19" s="10">
        <f>IF('Market Input'!H19="",0,IF('Market Input'!H19="Agricultural",40,IF('Market Input'!H19="Mixed",30,IF('Market Input'!H19="Tourism",30,IF('Market Input'!H19="Service",25,IF('Market Input'!H19="Technical",20,15))))))</f>
      </c>
      <c r="J19" s="10">
        <f>IF('Market Input'!R19="",0,IF('Market Input'!R19="None",0,IF('Market Input'!R19="Low",10,IF('Market Input'!R19="Moderate",25,IF('Market Input'!R19="High",35,40)))))</f>
      </c>
      <c r="K19" s="10">
        <f>IF('Market Input'!O19="",0,IF('Market Input'!O19="None",40,IF('Market Input'!O19="Weak",30,IF('Market Input'!O19="Moderate",15,5))))</f>
      </c>
      <c r="L19" s="10">
        <f>IF('Market Input'!P19="",0,IF('Market Input'!P19="None",5,IF('Market Input'!P19="Contact Only",15,IF('Market Input'!P19="Active Advocate",30,40))))</f>
      </c>
      <c r="M19" s="11">
        <f>IF('Market Input'!D19="","",ROUND((C19*0.15+D19*0.15+E19*0.15+F19*0.15+G19*0.10+H19*0.10+I19*0.05+J19*0.05+K19*0.05+L19*0.05)/40*100,0))</f>
      </c>
      <c r="N19" s="12">
        <f>IF(M19="","",IF(M19&gt;=80,"A",IF(M19&gt;=65,"B",IF(M19&gt;=50,"C",IF(M19&gt;=35,"D","F")))))</f>
      </c>
    </row>
    <row r="20" spans="1:14" x14ac:dyDescent="0.25">
      <c r="A20" s="10">
        <f>'Market Input'!A20</f>
      </c>
      <c r="B20" s="10">
        <f>'Market Input'!D20</f>
      </c>
      <c r="C20" s="10">
        <f>IF('Market Input'!E20="",0,IF('Market Input'!E20&lt;25000,5,IF('Market Input'!E20&lt;100000,15,IF('Market Input'!E20&lt;250000,30,IF('Market Input'!E20&lt;1000000,50,40)))))</f>
      </c>
      <c r="D20" s="10">
        <f>IF('Market Input'!F20="",0,IF('Market Input'!F20&lt;40000,5,IF('Market Input'!F20&lt;60000,20,IF('Market Input'!F20&lt;80000,40,IF('Market Input'!F20&lt;100000,60,50)))))</f>
      </c>
      <c r="E20" s="10">
        <f>IF(OR('Market Input'!J20="",'Market Input'!E20="",'Market Input'!E20=0),0,LET(density,'Market Input'!J20/'Market Input'!E20*100000,IF(density&lt;2,10,IF(density&lt;5,30,IF(density&lt;8,40,20)))))</f>
      </c>
      <c r="F20" s="10">
        <f>IF('Market Input'!L20="",0,IF('Market Input'!L20&lt;100,5,IF('Market Input'!L20&lt;500,20,IF('Market Input'!L20&lt;1000,35,40))))</f>
      </c>
      <c r="G20" s="10">
        <f>IF('Market Input'!M20="",0,IF('Market Input'!M20&lt;120,10,IF('Market Input'!M20&lt;180,25,IF('Market Input'!M20&lt;240,35,40))))</f>
      </c>
      <c r="H20" s="10">
        <f>IF('Market Input'!G20="",0,IF('Market Input'!G20="Rural",35,IF('Market Input'!G20="Suburban",35,IF('Market Input'!G20="Urban",25,30))))</f>
      </c>
      <c r="I20" s="10">
        <f>IF('Market Input'!H20="",0,IF('Market Input'!H20="Agricultural",40,IF('Market Input'!H20="Mixed",30,IF('Market Input'!H20="Tourism",30,IF('Market Input'!H20="Service",25,IF('Market Input'!H20="Technical",20,15))))))</f>
      </c>
      <c r="J20" s="10">
        <f>IF('Market Input'!R20="",0,IF('Market Input'!R20="None",0,IF('Market Input'!R20="Low",10,IF('Market Input'!R20="Moderate",25,IF('Market Input'!R20="High",35,40)))))</f>
      </c>
      <c r="K20" s="10">
        <f>IF('Market Input'!O20="",0,IF('Market Input'!O20="None",40,IF('Market Input'!O20="Weak",30,IF('Market Input'!O20="Moderate",15,5))))</f>
      </c>
      <c r="L20" s="10">
        <f>IF('Market Input'!P20="",0,IF('Market Input'!P20="None",5,IF('Market Input'!P20="Contact Only",15,IF('Market Input'!P20="Active Advocate",30,40))))</f>
      </c>
      <c r="M20" s="11">
        <f>IF('Market Input'!D20="","",ROUND((C20*0.15+D20*0.15+E20*0.15+F20*0.15+G20*0.10+H20*0.10+I20*0.05+J20*0.05+K20*0.05+L20*0.05)/40*100,0))</f>
      </c>
      <c r="N20" s="12">
        <f>IF(M20="","",IF(M20&gt;=80,"A",IF(M20&gt;=65,"B",IF(M20&gt;=50,"C",IF(M20&gt;=35,"D","F")))))</f>
      </c>
    </row>
    <row r="21" spans="1:14" x14ac:dyDescent="0.25">
      <c r="A21" s="10">
        <f>'Market Input'!A21</f>
      </c>
      <c r="B21" s="10">
        <f>'Market Input'!D21</f>
      </c>
      <c r="C21" s="10">
        <f>IF('Market Input'!E21="",0,IF('Market Input'!E21&lt;25000,5,IF('Market Input'!E21&lt;100000,15,IF('Market Input'!E21&lt;250000,30,IF('Market Input'!E21&lt;1000000,50,40)))))</f>
      </c>
      <c r="D21" s="10">
        <f>IF('Market Input'!F21="",0,IF('Market Input'!F21&lt;40000,5,IF('Market Input'!F21&lt;60000,20,IF('Market Input'!F21&lt;80000,40,IF('Market Input'!F21&lt;100000,60,50)))))</f>
      </c>
      <c r="E21" s="10">
        <f>IF(OR('Market Input'!J21="",'Market Input'!E21="",'Market Input'!E21=0),0,LET(density,'Market Input'!J21/'Market Input'!E21*100000,IF(density&lt;2,10,IF(density&lt;5,30,IF(density&lt;8,40,20)))))</f>
      </c>
      <c r="F21" s="10">
        <f>IF('Market Input'!L21="",0,IF('Market Input'!L21&lt;100,5,IF('Market Input'!L21&lt;500,20,IF('Market Input'!L21&lt;1000,35,40))))</f>
      </c>
      <c r="G21" s="10">
        <f>IF('Market Input'!M21="",0,IF('Market Input'!M21&lt;120,10,IF('Market Input'!M21&lt;180,25,IF('Market Input'!M21&lt;240,35,40))))</f>
      </c>
      <c r="H21" s="10">
        <f>IF('Market Input'!G21="",0,IF('Market Input'!G21="Rural",35,IF('Market Input'!G21="Suburban",35,IF('Market Input'!G21="Urban",25,30))))</f>
      </c>
      <c r="I21" s="10">
        <f>IF('Market Input'!H21="",0,IF('Market Input'!H21="Agricultural",40,IF('Market Input'!H21="Mixed",30,IF('Market Input'!H21="Tourism",30,IF('Market Input'!H21="Service",25,IF('Market Input'!H21="Technical",20,15))))))</f>
      </c>
      <c r="J21" s="10">
        <f>IF('Market Input'!R21="",0,IF('Market Input'!R21="None",0,IF('Market Input'!R21="Low",10,IF('Market Input'!R21="Moderate",25,IF('Market Input'!R21="High",35,40)))))</f>
      </c>
      <c r="K21" s="10">
        <f>IF('Market Input'!O21="",0,IF('Market Input'!O21="None",40,IF('Market Input'!O21="Weak",30,IF('Market Input'!O21="Moderate",15,5))))</f>
      </c>
      <c r="L21" s="10">
        <f>IF('Market Input'!P21="",0,IF('Market Input'!P21="None",5,IF('Market Input'!P21="Contact Only",15,IF('Market Input'!P21="Active Advocate",30,40))))</f>
      </c>
      <c r="M21" s="11">
        <f>IF('Market Input'!D21="","",ROUND((C21*0.15+D21*0.15+E21*0.15+F21*0.15+G21*0.10+H21*0.10+I21*0.05+J21*0.05+K21*0.05+L21*0.05)/40*100,0))</f>
      </c>
      <c r="N21" s="12">
        <f>IF(M21="","",IF(M21&gt;=80,"A",IF(M21&gt;=65,"B",IF(M21&gt;=50,"C",IF(M21&gt;=35,"D","F")))))</f>
      </c>
    </row>
    <row r="22" spans="1:14" x14ac:dyDescent="0.25">
      <c r="A22" s="10">
        <f>'Market Input'!A22</f>
      </c>
      <c r="B22" s="10">
        <f>'Market Input'!D22</f>
      </c>
      <c r="C22" s="10">
        <f>IF('Market Input'!E22="",0,IF('Market Input'!E22&lt;25000,5,IF('Market Input'!E22&lt;100000,15,IF('Market Input'!E22&lt;250000,30,IF('Market Input'!E22&lt;1000000,50,40)))))</f>
      </c>
      <c r="D22" s="10">
        <f>IF('Market Input'!F22="",0,IF('Market Input'!F22&lt;40000,5,IF('Market Input'!F22&lt;60000,20,IF('Market Input'!F22&lt;80000,40,IF('Market Input'!F22&lt;100000,60,50)))))</f>
      </c>
      <c r="E22" s="10">
        <f>IF(OR('Market Input'!J22="",'Market Input'!E22="",'Market Input'!E22=0),0,LET(density,'Market Input'!J22/'Market Input'!E22*100000,IF(density&lt;2,10,IF(density&lt;5,30,IF(density&lt;8,40,20)))))</f>
      </c>
      <c r="F22" s="10">
        <f>IF('Market Input'!L22="",0,IF('Market Input'!L22&lt;100,5,IF('Market Input'!L22&lt;500,20,IF('Market Input'!L22&lt;1000,35,40))))</f>
      </c>
      <c r="G22" s="10">
        <f>IF('Market Input'!M22="",0,IF('Market Input'!M22&lt;120,10,IF('Market Input'!M22&lt;180,25,IF('Market Input'!M22&lt;240,35,40))))</f>
      </c>
      <c r="H22" s="10">
        <f>IF('Market Input'!G22="",0,IF('Market Input'!G22="Rural",35,IF('Market Input'!G22="Suburban",35,IF('Market Input'!G22="Urban",25,30))))</f>
      </c>
      <c r="I22" s="10">
        <f>IF('Market Input'!H22="",0,IF('Market Input'!H22="Agricultural",40,IF('Market Input'!H22="Mixed",30,IF('Market Input'!H22="Tourism",30,IF('Market Input'!H22="Service",25,IF('Market Input'!H22="Technical",20,15))))))</f>
      </c>
      <c r="J22" s="10">
        <f>IF('Market Input'!R22="",0,IF('Market Input'!R22="None",0,IF('Market Input'!R22="Low",10,IF('Market Input'!R22="Moderate",25,IF('Market Input'!R22="High",35,40)))))</f>
      </c>
      <c r="K22" s="10">
        <f>IF('Market Input'!O22="",0,IF('Market Input'!O22="None",40,IF('Market Input'!O22="Weak",30,IF('Market Input'!O22="Moderate",15,5))))</f>
      </c>
      <c r="L22" s="10">
        <f>IF('Market Input'!P22="",0,IF('Market Input'!P22="None",5,IF('Market Input'!P22="Contact Only",15,IF('Market Input'!P22="Active Advocate",30,40))))</f>
      </c>
      <c r="M22" s="11">
        <f>IF('Market Input'!D22="","",ROUND((C22*0.15+D22*0.15+E22*0.15+F22*0.15+G22*0.10+H22*0.10+I22*0.05+J22*0.05+K22*0.05+L22*0.05)/40*100,0))</f>
      </c>
      <c r="N22" s="12">
        <f>IF(M22="","",IF(M22&gt;=80,"A",IF(M22&gt;=65,"B",IF(M22&gt;=50,"C",IF(M22&gt;=35,"D","F")))))</f>
      </c>
    </row>
    <row r="23" spans="1:14" x14ac:dyDescent="0.25">
      <c r="A23" s="10">
        <f>'Market Input'!A23</f>
      </c>
      <c r="B23" s="10">
        <f>'Market Input'!D23</f>
      </c>
      <c r="C23" s="10">
        <f>IF('Market Input'!E23="",0,IF('Market Input'!E23&lt;25000,5,IF('Market Input'!E23&lt;100000,15,IF('Market Input'!E23&lt;250000,30,IF('Market Input'!E23&lt;1000000,50,40)))))</f>
      </c>
      <c r="D23" s="10">
        <f>IF('Market Input'!F23="",0,IF('Market Input'!F23&lt;40000,5,IF('Market Input'!F23&lt;60000,20,IF('Market Input'!F23&lt;80000,40,IF('Market Input'!F23&lt;100000,60,50)))))</f>
      </c>
      <c r="E23" s="10">
        <f>IF(OR('Market Input'!J23="",'Market Input'!E23="",'Market Input'!E23=0),0,LET(density,'Market Input'!J23/'Market Input'!E23*100000,IF(density&lt;2,10,IF(density&lt;5,30,IF(density&lt;8,40,20)))))</f>
      </c>
      <c r="F23" s="10">
        <f>IF('Market Input'!L23="",0,IF('Market Input'!L23&lt;100,5,IF('Market Input'!L23&lt;500,20,IF('Market Input'!L23&lt;1000,35,40))))</f>
      </c>
      <c r="G23" s="10">
        <f>IF('Market Input'!M23="",0,IF('Market Input'!M23&lt;120,10,IF('Market Input'!M23&lt;180,25,IF('Market Input'!M23&lt;240,35,40))))</f>
      </c>
      <c r="H23" s="10">
        <f>IF('Market Input'!G23="",0,IF('Market Input'!G23="Rural",35,IF('Market Input'!G23="Suburban",35,IF('Market Input'!G23="Urban",25,30))))</f>
      </c>
      <c r="I23" s="10">
        <f>IF('Market Input'!H23="",0,IF('Market Input'!H23="Agricultural",40,IF('Market Input'!H23="Mixed",30,IF('Market Input'!H23="Tourism",30,IF('Market Input'!H23="Service",25,IF('Market Input'!H23="Technical",20,15))))))</f>
      </c>
      <c r="J23" s="10">
        <f>IF('Market Input'!R23="",0,IF('Market Input'!R23="None",0,IF('Market Input'!R23="Low",10,IF('Market Input'!R23="Moderate",25,IF('Market Input'!R23="High",35,40)))))</f>
      </c>
      <c r="K23" s="10">
        <f>IF('Market Input'!O23="",0,IF('Market Input'!O23="None",40,IF('Market Input'!O23="Weak",30,IF('Market Input'!O23="Moderate",15,5))))</f>
      </c>
      <c r="L23" s="10">
        <f>IF('Market Input'!P23="",0,IF('Market Input'!P23="None",5,IF('Market Input'!P23="Contact Only",15,IF('Market Input'!P23="Active Advocate",30,40))))</f>
      </c>
      <c r="M23" s="11">
        <f>IF('Market Input'!D23="","",ROUND((C23*0.15+D23*0.15+E23*0.15+F23*0.15+G23*0.10+H23*0.10+I23*0.05+J23*0.05+K23*0.05+L23*0.05)/40*100,0))</f>
      </c>
      <c r="N23" s="12">
        <f>IF(M23="","",IF(M23&gt;=80,"A",IF(M23&gt;=65,"B",IF(M23&gt;=50,"C",IF(M23&gt;=35,"D","F")))))</f>
      </c>
    </row>
    <row r="24" spans="1:14" x14ac:dyDescent="0.25">
      <c r="A24" s="10">
        <f>'Market Input'!A24</f>
      </c>
      <c r="B24" s="10">
        <f>'Market Input'!D24</f>
      </c>
      <c r="C24" s="10">
        <f>IF('Market Input'!E24="",0,IF('Market Input'!E24&lt;25000,5,IF('Market Input'!E24&lt;100000,15,IF('Market Input'!E24&lt;250000,30,IF('Market Input'!E24&lt;1000000,50,40)))))</f>
      </c>
      <c r="D24" s="10">
        <f>IF('Market Input'!F24="",0,IF('Market Input'!F24&lt;40000,5,IF('Market Input'!F24&lt;60000,20,IF('Market Input'!F24&lt;80000,40,IF('Market Input'!F24&lt;100000,60,50)))))</f>
      </c>
      <c r="E24" s="10">
        <f>IF(OR('Market Input'!J24="",'Market Input'!E24="",'Market Input'!E24=0),0,LET(density,'Market Input'!J24/'Market Input'!E24*100000,IF(density&lt;2,10,IF(density&lt;5,30,IF(density&lt;8,40,20)))))</f>
      </c>
      <c r="F24" s="10">
        <f>IF('Market Input'!L24="",0,IF('Market Input'!L24&lt;100,5,IF('Market Input'!L24&lt;500,20,IF('Market Input'!L24&lt;1000,35,40))))</f>
      </c>
      <c r="G24" s="10">
        <f>IF('Market Input'!M24="",0,IF('Market Input'!M24&lt;120,10,IF('Market Input'!M24&lt;180,25,IF('Market Input'!M24&lt;240,35,40))))</f>
      </c>
      <c r="H24" s="10">
        <f>IF('Market Input'!G24="",0,IF('Market Input'!G24="Rural",35,IF('Market Input'!G24="Suburban",35,IF('Market Input'!G24="Urban",25,30))))</f>
      </c>
      <c r="I24" s="10">
        <f>IF('Market Input'!H24="",0,IF('Market Input'!H24="Agricultural",40,IF('Market Input'!H24="Mixed",30,IF('Market Input'!H24="Tourism",30,IF('Market Input'!H24="Service",25,IF('Market Input'!H24="Technical",20,15))))))</f>
      </c>
      <c r="J24" s="10">
        <f>IF('Market Input'!R24="",0,IF('Market Input'!R24="None",0,IF('Market Input'!R24="Low",10,IF('Market Input'!R24="Moderate",25,IF('Market Input'!R24="High",35,40)))))</f>
      </c>
      <c r="K24" s="10">
        <f>IF('Market Input'!O24="",0,IF('Market Input'!O24="None",40,IF('Market Input'!O24="Weak",30,IF('Market Input'!O24="Moderate",15,5))))</f>
      </c>
      <c r="L24" s="10">
        <f>IF('Market Input'!P24="",0,IF('Market Input'!P24="None",5,IF('Market Input'!P24="Contact Only",15,IF('Market Input'!P24="Active Advocate",30,40))))</f>
      </c>
      <c r="M24" s="11">
        <f>IF('Market Input'!D24="","",ROUND((C24*0.15+D24*0.15+E24*0.15+F24*0.15+G24*0.10+H24*0.10+I24*0.05+J24*0.05+K24*0.05+L24*0.05)/40*100,0))</f>
      </c>
      <c r="N24" s="12">
        <f>IF(M24="","",IF(M24&gt;=80,"A",IF(M24&gt;=65,"B",IF(M24&gt;=50,"C",IF(M24&gt;=35,"D","F")))))</f>
      </c>
    </row>
    <row r="27" spans="1:14" x14ac:dyDescent="0.25">
      <c r="A27" s="13" t="s">
        <v>55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9" ht="30" customHeight="1" spans="1:14" x14ac:dyDescent="0.25">
      <c r="A29" s="14" t="s">
        <v>2</v>
      </c>
      <c r="B29" s="14" t="s">
        <v>42</v>
      </c>
      <c r="C29" s="14" t="s">
        <v>43</v>
      </c>
      <c r="D29" s="14" t="s">
        <v>44</v>
      </c>
      <c r="E29" s="14" t="s">
        <v>56</v>
      </c>
      <c r="F29" s="14" t="s">
        <v>57</v>
      </c>
      <c r="G29" s="14" t="s">
        <v>58</v>
      </c>
      <c r="H29" s="14" t="s">
        <v>50</v>
      </c>
      <c r="I29" s="14" t="s">
        <v>48</v>
      </c>
      <c r="J29" s="14" t="s">
        <v>51</v>
      </c>
      <c r="K29" s="14" t="s">
        <v>52</v>
      </c>
      <c r="L29" s="14" t="s">
        <v>59</v>
      </c>
      <c r="M29" s="14" t="s">
        <v>60</v>
      </c>
      <c r="N29" s="14" t="s">
        <v>61</v>
      </c>
    </row>
    <row r="30" spans="1:14" x14ac:dyDescent="0.25">
      <c r="A30" s="10">
        <f>'Market Input'!A5</f>
      </c>
      <c r="B30" s="10">
        <f>'Market Input'!D5</f>
      </c>
      <c r="C30" s="10">
        <f>IF('Market Input'!E5="",0,IF('Market Input'!E5&lt;25000,5,IF('Market Input'!E5&lt;100000,10,IF('Market Input'!E5&lt;250000,25,IF('Market Input'!E5&lt;1000000,45,50)))))</f>
      </c>
      <c r="D30" s="10">
        <f>IF('Market Input'!F5="",0,IF('Market Input'!F5&lt;40000,15,IF('Market Input'!F5&lt;60000,25,IF('Market Input'!F5&lt;80000,35,40))))</f>
      </c>
      <c r="E30" s="10">
        <f>IF(OR('Market Input'!K5="",'Market Input'!E5="",'Market Input'!E5=0),0,LET(density,'Market Input'!K5/'Market Input'!E5*100000,IF(density&lt;1,10,IF(density&lt;5,25,IF(density&lt;15,40,30)))))</f>
      </c>
      <c r="F30" s="10">
        <f>IF('Market Input'!N5="",0,IF('Market Input'!N5=0,0,IF('Market Input'!N5&lt;5000,10,IF('Market Input'!N5&lt;15000,25,IF('Market Input'!N5&lt;30000,35,40)))))</f>
      </c>
      <c r="G30" s="10">
        <f>IF('Market Input'!Q5="",0,IF('Market Input'!Q5="Very Friendly",40,IF('Market Input'!Q5="Friendly",30,IF('Market Input'!Q5="Moderate",20,IF('Market Input'!Q5="Restrictive",10,0)))))</f>
      </c>
      <c r="H30" s="10">
        <f>IF('Market Input'!R5="",0,IF('Market Input'!R5="None",0,IF('Market Input'!R5="Low",10,IF('Market Input'!R5="Moderate",25,IF('Market Input'!R5="High",35,40)))))</f>
      </c>
      <c r="I30" s="10">
        <f>IF('Market Input'!G5="",0,IF('Market Input'!G5="Urban",40,IF('Market Input'!G5="College Town",38,IF('Market Input'!G5="Suburban",25,10))))</f>
      </c>
      <c r="J30" s="10">
        <f>IF('Market Input'!O5="",0,IF('Market Input'!O5="None",40,IF('Market Input'!O5="Weak",30,IF('Market Input'!O5="Moderate",15,5))))</f>
      </c>
      <c r="K30" s="10">
        <f>IF('Market Input'!P5="",0,IF('Market Input'!P5="None",5,IF('Market Input'!P5="Contact Only",15,IF('Market Input'!P5="Active Advocate",30,40))))</f>
      </c>
      <c r="L30" s="10">
        <f>IF('Market Input'!M5="",0,IF('Market Input'!M5&lt;120,10,IF('Market Input'!M5&lt;180,20,IF('Market Input'!M5&lt;240,30,40))))</f>
      </c>
      <c r="M30" s="15">
        <f>IF('Market Input'!D5="","",ROUND((C30*0.20+D30*0.10+E30*0.10+F30*0.15+G30*0.10+H30*0.10+I30*0.10+J30*0.05+K30*0.05+L30*0.05)/40*100,0))</f>
      </c>
      <c r="N30" s="12">
        <f>IF(M30="","",IF(M30&gt;=80,"A",IF(M30&gt;=65,"B",IF(M30&gt;=50,"C",IF(M30&gt;=35,"D","F")))))</f>
      </c>
    </row>
    <row r="31" spans="1:14" x14ac:dyDescent="0.25">
      <c r="A31" s="10">
        <f>'Market Input'!A6</f>
      </c>
      <c r="B31" s="10">
        <f>'Market Input'!D6</f>
      </c>
      <c r="C31" s="10">
        <f>IF('Market Input'!E6="",0,IF('Market Input'!E6&lt;25000,5,IF('Market Input'!E6&lt;100000,10,IF('Market Input'!E6&lt;250000,25,IF('Market Input'!E6&lt;1000000,45,50)))))</f>
      </c>
      <c r="D31" s="10">
        <f>IF('Market Input'!F6="",0,IF('Market Input'!F6&lt;40000,15,IF('Market Input'!F6&lt;60000,25,IF('Market Input'!F6&lt;80000,35,40))))</f>
      </c>
      <c r="E31" s="10">
        <f>IF(OR('Market Input'!K6="",'Market Input'!E6="",'Market Input'!E6=0),0,LET(density,'Market Input'!K6/'Market Input'!E6*100000,IF(density&lt;1,10,IF(density&lt;5,25,IF(density&lt;15,40,30)))))</f>
      </c>
      <c r="F31" s="10">
        <f>IF('Market Input'!N6="",0,IF('Market Input'!N6=0,0,IF('Market Input'!N6&lt;5000,10,IF('Market Input'!N6&lt;15000,25,IF('Market Input'!N6&lt;30000,35,40)))))</f>
      </c>
      <c r="G31" s="10">
        <f>IF('Market Input'!Q6="",0,IF('Market Input'!Q6="Very Friendly",40,IF('Market Input'!Q6="Friendly",30,IF('Market Input'!Q6="Moderate",20,IF('Market Input'!Q6="Restrictive",10,0)))))</f>
      </c>
      <c r="H31" s="10">
        <f>IF('Market Input'!R6="",0,IF('Market Input'!R6="None",0,IF('Market Input'!R6="Low",10,IF('Market Input'!R6="Moderate",25,IF('Market Input'!R6="High",35,40)))))</f>
      </c>
      <c r="I31" s="10">
        <f>IF('Market Input'!G6="",0,IF('Market Input'!G6="Urban",40,IF('Market Input'!G6="College Town",38,IF('Market Input'!G6="Suburban",25,10))))</f>
      </c>
      <c r="J31" s="10">
        <f>IF('Market Input'!O6="",0,IF('Market Input'!O6="None",40,IF('Market Input'!O6="Weak",30,IF('Market Input'!O6="Moderate",15,5))))</f>
      </c>
      <c r="K31" s="10">
        <f>IF('Market Input'!P6="",0,IF('Market Input'!P6="None",5,IF('Market Input'!P6="Contact Only",15,IF('Market Input'!P6="Active Advocate",30,40))))</f>
      </c>
      <c r="L31" s="10">
        <f>IF('Market Input'!M6="",0,IF('Market Input'!M6&lt;120,10,IF('Market Input'!M6&lt;180,20,IF('Market Input'!M6&lt;240,30,40))))</f>
      </c>
      <c r="M31" s="15">
        <f>IF('Market Input'!D6="","",ROUND((C31*0.20+D31*0.10+E31*0.10+F31*0.15+G31*0.10+H31*0.10+I31*0.10+J31*0.05+K31*0.05+L31*0.05)/40*100,0))</f>
      </c>
      <c r="N31" s="12">
        <f>IF(M31="","",IF(M31&gt;=80,"A",IF(M31&gt;=65,"B",IF(M31&gt;=50,"C",IF(M31&gt;=35,"D","F")))))</f>
      </c>
    </row>
    <row r="32" spans="1:14" x14ac:dyDescent="0.25">
      <c r="A32" s="10">
        <f>'Market Input'!A7</f>
      </c>
      <c r="B32" s="10">
        <f>'Market Input'!D7</f>
      </c>
      <c r="C32" s="10">
        <f>IF('Market Input'!E7="",0,IF('Market Input'!E7&lt;25000,5,IF('Market Input'!E7&lt;100000,10,IF('Market Input'!E7&lt;250000,25,IF('Market Input'!E7&lt;1000000,45,50)))))</f>
      </c>
      <c r="D32" s="10">
        <f>IF('Market Input'!F7="",0,IF('Market Input'!F7&lt;40000,15,IF('Market Input'!F7&lt;60000,25,IF('Market Input'!F7&lt;80000,35,40))))</f>
      </c>
      <c r="E32" s="10">
        <f>IF(OR('Market Input'!K7="",'Market Input'!E7="",'Market Input'!E7=0),0,LET(density,'Market Input'!K7/'Market Input'!E7*100000,IF(density&lt;1,10,IF(density&lt;5,25,IF(density&lt;15,40,30)))))</f>
      </c>
      <c r="F32" s="10">
        <f>IF('Market Input'!N7="",0,IF('Market Input'!N7=0,0,IF('Market Input'!N7&lt;5000,10,IF('Market Input'!N7&lt;15000,25,IF('Market Input'!N7&lt;30000,35,40)))))</f>
      </c>
      <c r="G32" s="10">
        <f>IF('Market Input'!Q7="",0,IF('Market Input'!Q7="Very Friendly",40,IF('Market Input'!Q7="Friendly",30,IF('Market Input'!Q7="Moderate",20,IF('Market Input'!Q7="Restrictive",10,0)))))</f>
      </c>
      <c r="H32" s="10">
        <f>IF('Market Input'!R7="",0,IF('Market Input'!R7="None",0,IF('Market Input'!R7="Low",10,IF('Market Input'!R7="Moderate",25,IF('Market Input'!R7="High",35,40)))))</f>
      </c>
      <c r="I32" s="10">
        <f>IF('Market Input'!G7="",0,IF('Market Input'!G7="Urban",40,IF('Market Input'!G7="College Town",38,IF('Market Input'!G7="Suburban",25,10))))</f>
      </c>
      <c r="J32" s="10">
        <f>IF('Market Input'!O7="",0,IF('Market Input'!O7="None",40,IF('Market Input'!O7="Weak",30,IF('Market Input'!O7="Moderate",15,5))))</f>
      </c>
      <c r="K32" s="10">
        <f>IF('Market Input'!P7="",0,IF('Market Input'!P7="None",5,IF('Market Input'!P7="Contact Only",15,IF('Market Input'!P7="Active Advocate",30,40))))</f>
      </c>
      <c r="L32" s="10">
        <f>IF('Market Input'!M7="",0,IF('Market Input'!M7&lt;120,10,IF('Market Input'!M7&lt;180,20,IF('Market Input'!M7&lt;240,30,40))))</f>
      </c>
      <c r="M32" s="15">
        <f>IF('Market Input'!D7="","",ROUND((C32*0.20+D32*0.10+E32*0.10+F32*0.15+G32*0.10+H32*0.10+I32*0.10+J32*0.05+K32*0.05+L32*0.05)/40*100,0))</f>
      </c>
      <c r="N32" s="12">
        <f>IF(M32="","",IF(M32&gt;=80,"A",IF(M32&gt;=65,"B",IF(M32&gt;=50,"C",IF(M32&gt;=35,"D","F")))))</f>
      </c>
    </row>
    <row r="33" spans="1:14" x14ac:dyDescent="0.25">
      <c r="A33" s="10">
        <f>'Market Input'!A8</f>
      </c>
      <c r="B33" s="10">
        <f>'Market Input'!D8</f>
      </c>
      <c r="C33" s="10">
        <f>IF('Market Input'!E8="",0,IF('Market Input'!E8&lt;25000,5,IF('Market Input'!E8&lt;100000,10,IF('Market Input'!E8&lt;250000,25,IF('Market Input'!E8&lt;1000000,45,50)))))</f>
      </c>
      <c r="D33" s="10">
        <f>IF('Market Input'!F8="",0,IF('Market Input'!F8&lt;40000,15,IF('Market Input'!F8&lt;60000,25,IF('Market Input'!F8&lt;80000,35,40))))</f>
      </c>
      <c r="E33" s="10">
        <f>IF(OR('Market Input'!K8="",'Market Input'!E8="",'Market Input'!E8=0),0,LET(density,'Market Input'!K8/'Market Input'!E8*100000,IF(density&lt;1,10,IF(density&lt;5,25,IF(density&lt;15,40,30)))))</f>
      </c>
      <c r="F33" s="10">
        <f>IF('Market Input'!N8="",0,IF('Market Input'!N8=0,0,IF('Market Input'!N8&lt;5000,10,IF('Market Input'!N8&lt;15000,25,IF('Market Input'!N8&lt;30000,35,40)))))</f>
      </c>
      <c r="G33" s="10">
        <f>IF('Market Input'!Q8="",0,IF('Market Input'!Q8="Very Friendly",40,IF('Market Input'!Q8="Friendly",30,IF('Market Input'!Q8="Moderate",20,IF('Market Input'!Q8="Restrictive",10,0)))))</f>
      </c>
      <c r="H33" s="10">
        <f>IF('Market Input'!R8="",0,IF('Market Input'!R8="None",0,IF('Market Input'!R8="Low",10,IF('Market Input'!R8="Moderate",25,IF('Market Input'!R8="High",35,40)))))</f>
      </c>
      <c r="I33" s="10">
        <f>IF('Market Input'!G8="",0,IF('Market Input'!G8="Urban",40,IF('Market Input'!G8="College Town",38,IF('Market Input'!G8="Suburban",25,10))))</f>
      </c>
      <c r="J33" s="10">
        <f>IF('Market Input'!O8="",0,IF('Market Input'!O8="None",40,IF('Market Input'!O8="Weak",30,IF('Market Input'!O8="Moderate",15,5))))</f>
      </c>
      <c r="K33" s="10">
        <f>IF('Market Input'!P8="",0,IF('Market Input'!P8="None",5,IF('Market Input'!P8="Contact Only",15,IF('Market Input'!P8="Active Advocate",30,40))))</f>
      </c>
      <c r="L33" s="10">
        <f>IF('Market Input'!M8="",0,IF('Market Input'!M8&lt;120,10,IF('Market Input'!M8&lt;180,20,IF('Market Input'!M8&lt;240,30,40))))</f>
      </c>
      <c r="M33" s="15">
        <f>IF('Market Input'!D8="","",ROUND((C33*0.20+D33*0.10+E33*0.10+F33*0.15+G33*0.10+H33*0.10+I33*0.10+J33*0.05+K33*0.05+L33*0.05)/40*100,0))</f>
      </c>
      <c r="N33" s="12">
        <f>IF(M33="","",IF(M33&gt;=80,"A",IF(M33&gt;=65,"B",IF(M33&gt;=50,"C",IF(M33&gt;=35,"D","F")))))</f>
      </c>
    </row>
    <row r="34" spans="1:14" x14ac:dyDescent="0.25">
      <c r="A34" s="10">
        <f>'Market Input'!A9</f>
      </c>
      <c r="B34" s="10">
        <f>'Market Input'!D9</f>
      </c>
      <c r="C34" s="10">
        <f>IF('Market Input'!E9="",0,IF('Market Input'!E9&lt;25000,5,IF('Market Input'!E9&lt;100000,10,IF('Market Input'!E9&lt;250000,25,IF('Market Input'!E9&lt;1000000,45,50)))))</f>
      </c>
      <c r="D34" s="10">
        <f>IF('Market Input'!F9="",0,IF('Market Input'!F9&lt;40000,15,IF('Market Input'!F9&lt;60000,25,IF('Market Input'!F9&lt;80000,35,40))))</f>
      </c>
      <c r="E34" s="10">
        <f>IF(OR('Market Input'!K9="",'Market Input'!E9="",'Market Input'!E9=0),0,LET(density,'Market Input'!K9/'Market Input'!E9*100000,IF(density&lt;1,10,IF(density&lt;5,25,IF(density&lt;15,40,30)))))</f>
      </c>
      <c r="F34" s="10">
        <f>IF('Market Input'!N9="",0,IF('Market Input'!N9=0,0,IF('Market Input'!N9&lt;5000,10,IF('Market Input'!N9&lt;15000,25,IF('Market Input'!N9&lt;30000,35,40)))))</f>
      </c>
      <c r="G34" s="10">
        <f>IF('Market Input'!Q9="",0,IF('Market Input'!Q9="Very Friendly",40,IF('Market Input'!Q9="Friendly",30,IF('Market Input'!Q9="Moderate",20,IF('Market Input'!Q9="Restrictive",10,0)))))</f>
      </c>
      <c r="H34" s="10">
        <f>IF('Market Input'!R9="",0,IF('Market Input'!R9="None",0,IF('Market Input'!R9="Low",10,IF('Market Input'!R9="Moderate",25,IF('Market Input'!R9="High",35,40)))))</f>
      </c>
      <c r="I34" s="10">
        <f>IF('Market Input'!G9="",0,IF('Market Input'!G9="Urban",40,IF('Market Input'!G9="College Town",38,IF('Market Input'!G9="Suburban",25,10))))</f>
      </c>
      <c r="J34" s="10">
        <f>IF('Market Input'!O9="",0,IF('Market Input'!O9="None",40,IF('Market Input'!O9="Weak",30,IF('Market Input'!O9="Moderate",15,5))))</f>
      </c>
      <c r="K34" s="10">
        <f>IF('Market Input'!P9="",0,IF('Market Input'!P9="None",5,IF('Market Input'!P9="Contact Only",15,IF('Market Input'!P9="Active Advocate",30,40))))</f>
      </c>
      <c r="L34" s="10">
        <f>IF('Market Input'!M9="",0,IF('Market Input'!M9&lt;120,10,IF('Market Input'!M9&lt;180,20,IF('Market Input'!M9&lt;240,30,40))))</f>
      </c>
      <c r="M34" s="15">
        <f>IF('Market Input'!D9="","",ROUND((C34*0.20+D34*0.10+E34*0.10+F34*0.15+G34*0.10+H34*0.10+I34*0.10+J34*0.05+K34*0.05+L34*0.05)/40*100,0))</f>
      </c>
      <c r="N34" s="12">
        <f>IF(M34="","",IF(M34&gt;=80,"A",IF(M34&gt;=65,"B",IF(M34&gt;=50,"C",IF(M34&gt;=35,"D","F")))))</f>
      </c>
    </row>
    <row r="35" spans="1:14" x14ac:dyDescent="0.25">
      <c r="A35" s="10">
        <f>'Market Input'!A10</f>
      </c>
      <c r="B35" s="10">
        <f>'Market Input'!D10</f>
      </c>
      <c r="C35" s="10">
        <f>IF('Market Input'!E10="",0,IF('Market Input'!E10&lt;25000,5,IF('Market Input'!E10&lt;100000,10,IF('Market Input'!E10&lt;250000,25,IF('Market Input'!E10&lt;1000000,45,50)))))</f>
      </c>
      <c r="D35" s="10">
        <f>IF('Market Input'!F10="",0,IF('Market Input'!F10&lt;40000,15,IF('Market Input'!F10&lt;60000,25,IF('Market Input'!F10&lt;80000,35,40))))</f>
      </c>
      <c r="E35" s="10">
        <f>IF(OR('Market Input'!K10="",'Market Input'!E10="",'Market Input'!E10=0),0,LET(density,'Market Input'!K10/'Market Input'!E10*100000,IF(density&lt;1,10,IF(density&lt;5,25,IF(density&lt;15,40,30)))))</f>
      </c>
      <c r="F35" s="10">
        <f>IF('Market Input'!N10="",0,IF('Market Input'!N10=0,0,IF('Market Input'!N10&lt;5000,10,IF('Market Input'!N10&lt;15000,25,IF('Market Input'!N10&lt;30000,35,40)))))</f>
      </c>
      <c r="G35" s="10">
        <f>IF('Market Input'!Q10="",0,IF('Market Input'!Q10="Very Friendly",40,IF('Market Input'!Q10="Friendly",30,IF('Market Input'!Q10="Moderate",20,IF('Market Input'!Q10="Restrictive",10,0)))))</f>
      </c>
      <c r="H35" s="10">
        <f>IF('Market Input'!R10="",0,IF('Market Input'!R10="None",0,IF('Market Input'!R10="Low",10,IF('Market Input'!R10="Moderate",25,IF('Market Input'!R10="High",35,40)))))</f>
      </c>
      <c r="I35" s="10">
        <f>IF('Market Input'!G10="",0,IF('Market Input'!G10="Urban",40,IF('Market Input'!G10="College Town",38,IF('Market Input'!G10="Suburban",25,10))))</f>
      </c>
      <c r="J35" s="10">
        <f>IF('Market Input'!O10="",0,IF('Market Input'!O10="None",40,IF('Market Input'!O10="Weak",30,IF('Market Input'!O10="Moderate",15,5))))</f>
      </c>
      <c r="K35" s="10">
        <f>IF('Market Input'!P10="",0,IF('Market Input'!P10="None",5,IF('Market Input'!P10="Contact Only",15,IF('Market Input'!P10="Active Advocate",30,40))))</f>
      </c>
      <c r="L35" s="10">
        <f>IF('Market Input'!M10="",0,IF('Market Input'!M10&lt;120,10,IF('Market Input'!M10&lt;180,20,IF('Market Input'!M10&lt;240,30,40))))</f>
      </c>
      <c r="M35" s="15">
        <f>IF('Market Input'!D10="","",ROUND((C35*0.20+D35*0.10+E35*0.10+F35*0.15+G35*0.10+H35*0.10+I35*0.10+J35*0.05+K35*0.05+L35*0.05)/40*100,0))</f>
      </c>
      <c r="N35" s="12">
        <f>IF(M35="","",IF(M35&gt;=80,"A",IF(M35&gt;=65,"B",IF(M35&gt;=50,"C",IF(M35&gt;=35,"D","F")))))</f>
      </c>
    </row>
    <row r="36" spans="1:14" x14ac:dyDescent="0.25">
      <c r="A36" s="10">
        <f>'Market Input'!A11</f>
      </c>
      <c r="B36" s="10">
        <f>'Market Input'!D11</f>
      </c>
      <c r="C36" s="10">
        <f>IF('Market Input'!E11="",0,IF('Market Input'!E11&lt;25000,5,IF('Market Input'!E11&lt;100000,10,IF('Market Input'!E11&lt;250000,25,IF('Market Input'!E11&lt;1000000,45,50)))))</f>
      </c>
      <c r="D36" s="10">
        <f>IF('Market Input'!F11="",0,IF('Market Input'!F11&lt;40000,15,IF('Market Input'!F11&lt;60000,25,IF('Market Input'!F11&lt;80000,35,40))))</f>
      </c>
      <c r="E36" s="10">
        <f>IF(OR('Market Input'!K11="",'Market Input'!E11="",'Market Input'!E11=0),0,LET(density,'Market Input'!K11/'Market Input'!E11*100000,IF(density&lt;1,10,IF(density&lt;5,25,IF(density&lt;15,40,30)))))</f>
      </c>
      <c r="F36" s="10">
        <f>IF('Market Input'!N11="",0,IF('Market Input'!N11=0,0,IF('Market Input'!N11&lt;5000,10,IF('Market Input'!N11&lt;15000,25,IF('Market Input'!N11&lt;30000,35,40)))))</f>
      </c>
      <c r="G36" s="10">
        <f>IF('Market Input'!Q11="",0,IF('Market Input'!Q11="Very Friendly",40,IF('Market Input'!Q11="Friendly",30,IF('Market Input'!Q11="Moderate",20,IF('Market Input'!Q11="Restrictive",10,0)))))</f>
      </c>
      <c r="H36" s="10">
        <f>IF('Market Input'!R11="",0,IF('Market Input'!R11="None",0,IF('Market Input'!R11="Low",10,IF('Market Input'!R11="Moderate",25,IF('Market Input'!R11="High",35,40)))))</f>
      </c>
      <c r="I36" s="10">
        <f>IF('Market Input'!G11="",0,IF('Market Input'!G11="Urban",40,IF('Market Input'!G11="College Town",38,IF('Market Input'!G11="Suburban",25,10))))</f>
      </c>
      <c r="J36" s="10">
        <f>IF('Market Input'!O11="",0,IF('Market Input'!O11="None",40,IF('Market Input'!O11="Weak",30,IF('Market Input'!O11="Moderate",15,5))))</f>
      </c>
      <c r="K36" s="10">
        <f>IF('Market Input'!P11="",0,IF('Market Input'!P11="None",5,IF('Market Input'!P11="Contact Only",15,IF('Market Input'!P11="Active Advocate",30,40))))</f>
      </c>
      <c r="L36" s="10">
        <f>IF('Market Input'!M11="",0,IF('Market Input'!M11&lt;120,10,IF('Market Input'!M11&lt;180,20,IF('Market Input'!M11&lt;240,30,40))))</f>
      </c>
      <c r="M36" s="15">
        <f>IF('Market Input'!D11="","",ROUND((C36*0.20+D36*0.10+E36*0.10+F36*0.15+G36*0.10+H36*0.10+I36*0.10+J36*0.05+K36*0.05+L36*0.05)/40*100,0))</f>
      </c>
      <c r="N36" s="12">
        <f>IF(M36="","",IF(M36&gt;=80,"A",IF(M36&gt;=65,"B",IF(M36&gt;=50,"C",IF(M36&gt;=35,"D","F")))))</f>
      </c>
    </row>
    <row r="37" spans="1:14" x14ac:dyDescent="0.25">
      <c r="A37" s="10">
        <f>'Market Input'!A12</f>
      </c>
      <c r="B37" s="10">
        <f>'Market Input'!D12</f>
      </c>
      <c r="C37" s="10">
        <f>IF('Market Input'!E12="",0,IF('Market Input'!E12&lt;25000,5,IF('Market Input'!E12&lt;100000,10,IF('Market Input'!E12&lt;250000,25,IF('Market Input'!E12&lt;1000000,45,50)))))</f>
      </c>
      <c r="D37" s="10">
        <f>IF('Market Input'!F12="",0,IF('Market Input'!F12&lt;40000,15,IF('Market Input'!F12&lt;60000,25,IF('Market Input'!F12&lt;80000,35,40))))</f>
      </c>
      <c r="E37" s="10">
        <f>IF(OR('Market Input'!K12="",'Market Input'!E12="",'Market Input'!E12=0),0,LET(density,'Market Input'!K12/'Market Input'!E12*100000,IF(density&lt;1,10,IF(density&lt;5,25,IF(density&lt;15,40,30)))))</f>
      </c>
      <c r="F37" s="10">
        <f>IF('Market Input'!N12="",0,IF('Market Input'!N12=0,0,IF('Market Input'!N12&lt;5000,10,IF('Market Input'!N12&lt;15000,25,IF('Market Input'!N12&lt;30000,35,40)))))</f>
      </c>
      <c r="G37" s="10">
        <f>IF('Market Input'!Q12="",0,IF('Market Input'!Q12="Very Friendly",40,IF('Market Input'!Q12="Friendly",30,IF('Market Input'!Q12="Moderate",20,IF('Market Input'!Q12="Restrictive",10,0)))))</f>
      </c>
      <c r="H37" s="10">
        <f>IF('Market Input'!R12="",0,IF('Market Input'!R12="None",0,IF('Market Input'!R12="Low",10,IF('Market Input'!R12="Moderate",25,IF('Market Input'!R12="High",35,40)))))</f>
      </c>
      <c r="I37" s="10">
        <f>IF('Market Input'!G12="",0,IF('Market Input'!G12="Urban",40,IF('Market Input'!G12="College Town",38,IF('Market Input'!G12="Suburban",25,10))))</f>
      </c>
      <c r="J37" s="10">
        <f>IF('Market Input'!O12="",0,IF('Market Input'!O12="None",40,IF('Market Input'!O12="Weak",30,IF('Market Input'!O12="Moderate",15,5))))</f>
      </c>
      <c r="K37" s="10">
        <f>IF('Market Input'!P12="",0,IF('Market Input'!P12="None",5,IF('Market Input'!P12="Contact Only",15,IF('Market Input'!P12="Active Advocate",30,40))))</f>
      </c>
      <c r="L37" s="10">
        <f>IF('Market Input'!M12="",0,IF('Market Input'!M12&lt;120,10,IF('Market Input'!M12&lt;180,20,IF('Market Input'!M12&lt;240,30,40))))</f>
      </c>
      <c r="M37" s="15">
        <f>IF('Market Input'!D12="","",ROUND((C37*0.20+D37*0.10+E37*0.10+F37*0.15+G37*0.10+H37*0.10+I37*0.10+J37*0.05+K37*0.05+L37*0.05)/40*100,0))</f>
      </c>
      <c r="N37" s="12">
        <f>IF(M37="","",IF(M37&gt;=80,"A",IF(M37&gt;=65,"B",IF(M37&gt;=50,"C",IF(M37&gt;=35,"D","F")))))</f>
      </c>
    </row>
    <row r="38" spans="1:14" x14ac:dyDescent="0.25">
      <c r="A38" s="10">
        <f>'Market Input'!A13</f>
      </c>
      <c r="B38" s="10">
        <f>'Market Input'!D13</f>
      </c>
      <c r="C38" s="10">
        <f>IF('Market Input'!E13="",0,IF('Market Input'!E13&lt;25000,5,IF('Market Input'!E13&lt;100000,10,IF('Market Input'!E13&lt;250000,25,IF('Market Input'!E13&lt;1000000,45,50)))))</f>
      </c>
      <c r="D38" s="10">
        <f>IF('Market Input'!F13="",0,IF('Market Input'!F13&lt;40000,15,IF('Market Input'!F13&lt;60000,25,IF('Market Input'!F13&lt;80000,35,40))))</f>
      </c>
      <c r="E38" s="10">
        <f>IF(OR('Market Input'!K13="",'Market Input'!E13="",'Market Input'!E13=0),0,LET(density,'Market Input'!K13/'Market Input'!E13*100000,IF(density&lt;1,10,IF(density&lt;5,25,IF(density&lt;15,40,30)))))</f>
      </c>
      <c r="F38" s="10">
        <f>IF('Market Input'!N13="",0,IF('Market Input'!N13=0,0,IF('Market Input'!N13&lt;5000,10,IF('Market Input'!N13&lt;15000,25,IF('Market Input'!N13&lt;30000,35,40)))))</f>
      </c>
      <c r="G38" s="10">
        <f>IF('Market Input'!Q13="",0,IF('Market Input'!Q13="Very Friendly",40,IF('Market Input'!Q13="Friendly",30,IF('Market Input'!Q13="Moderate",20,IF('Market Input'!Q13="Restrictive",10,0)))))</f>
      </c>
      <c r="H38" s="10">
        <f>IF('Market Input'!R13="",0,IF('Market Input'!R13="None",0,IF('Market Input'!R13="Low",10,IF('Market Input'!R13="Moderate",25,IF('Market Input'!R13="High",35,40)))))</f>
      </c>
      <c r="I38" s="10">
        <f>IF('Market Input'!G13="",0,IF('Market Input'!G13="Urban",40,IF('Market Input'!G13="College Town",38,IF('Market Input'!G13="Suburban",25,10))))</f>
      </c>
      <c r="J38" s="10">
        <f>IF('Market Input'!O13="",0,IF('Market Input'!O13="None",40,IF('Market Input'!O13="Weak",30,IF('Market Input'!O13="Moderate",15,5))))</f>
      </c>
      <c r="K38" s="10">
        <f>IF('Market Input'!P13="",0,IF('Market Input'!P13="None",5,IF('Market Input'!P13="Contact Only",15,IF('Market Input'!P13="Active Advocate",30,40))))</f>
      </c>
      <c r="L38" s="10">
        <f>IF('Market Input'!M13="",0,IF('Market Input'!M13&lt;120,10,IF('Market Input'!M13&lt;180,20,IF('Market Input'!M13&lt;240,30,40))))</f>
      </c>
      <c r="M38" s="15">
        <f>IF('Market Input'!D13="","",ROUND((C38*0.20+D38*0.10+E38*0.10+F38*0.15+G38*0.10+H38*0.10+I38*0.10+J38*0.05+K38*0.05+L38*0.05)/40*100,0))</f>
      </c>
      <c r="N38" s="12">
        <f>IF(M38="","",IF(M38&gt;=80,"A",IF(M38&gt;=65,"B",IF(M38&gt;=50,"C",IF(M38&gt;=35,"D","F")))))</f>
      </c>
    </row>
    <row r="39" spans="1:14" x14ac:dyDescent="0.25">
      <c r="A39" s="10">
        <f>'Market Input'!A14</f>
      </c>
      <c r="B39" s="10">
        <f>'Market Input'!D14</f>
      </c>
      <c r="C39" s="10">
        <f>IF('Market Input'!E14="",0,IF('Market Input'!E14&lt;25000,5,IF('Market Input'!E14&lt;100000,10,IF('Market Input'!E14&lt;250000,25,IF('Market Input'!E14&lt;1000000,45,50)))))</f>
      </c>
      <c r="D39" s="10">
        <f>IF('Market Input'!F14="",0,IF('Market Input'!F14&lt;40000,15,IF('Market Input'!F14&lt;60000,25,IF('Market Input'!F14&lt;80000,35,40))))</f>
      </c>
      <c r="E39" s="10">
        <f>IF(OR('Market Input'!K14="",'Market Input'!E14="",'Market Input'!E14=0),0,LET(density,'Market Input'!K14/'Market Input'!E14*100000,IF(density&lt;1,10,IF(density&lt;5,25,IF(density&lt;15,40,30)))))</f>
      </c>
      <c r="F39" s="10">
        <f>IF('Market Input'!N14="",0,IF('Market Input'!N14=0,0,IF('Market Input'!N14&lt;5000,10,IF('Market Input'!N14&lt;15000,25,IF('Market Input'!N14&lt;30000,35,40)))))</f>
      </c>
      <c r="G39" s="10">
        <f>IF('Market Input'!Q14="",0,IF('Market Input'!Q14="Very Friendly",40,IF('Market Input'!Q14="Friendly",30,IF('Market Input'!Q14="Moderate",20,IF('Market Input'!Q14="Restrictive",10,0)))))</f>
      </c>
      <c r="H39" s="10">
        <f>IF('Market Input'!R14="",0,IF('Market Input'!R14="None",0,IF('Market Input'!R14="Low",10,IF('Market Input'!R14="Moderate",25,IF('Market Input'!R14="High",35,40)))))</f>
      </c>
      <c r="I39" s="10">
        <f>IF('Market Input'!G14="",0,IF('Market Input'!G14="Urban",40,IF('Market Input'!G14="College Town",38,IF('Market Input'!G14="Suburban",25,10))))</f>
      </c>
      <c r="J39" s="10">
        <f>IF('Market Input'!O14="",0,IF('Market Input'!O14="None",40,IF('Market Input'!O14="Weak",30,IF('Market Input'!O14="Moderate",15,5))))</f>
      </c>
      <c r="K39" s="10">
        <f>IF('Market Input'!P14="",0,IF('Market Input'!P14="None",5,IF('Market Input'!P14="Contact Only",15,IF('Market Input'!P14="Active Advocate",30,40))))</f>
      </c>
      <c r="L39" s="10">
        <f>IF('Market Input'!M14="",0,IF('Market Input'!M14&lt;120,10,IF('Market Input'!M14&lt;180,20,IF('Market Input'!M14&lt;240,30,40))))</f>
      </c>
      <c r="M39" s="15">
        <f>IF('Market Input'!D14="","",ROUND((C39*0.20+D39*0.10+E39*0.10+F39*0.15+G39*0.10+H39*0.10+I39*0.10+J39*0.05+K39*0.05+L39*0.05)/40*100,0))</f>
      </c>
      <c r="N39" s="12">
        <f>IF(M39="","",IF(M39&gt;=80,"A",IF(M39&gt;=65,"B",IF(M39&gt;=50,"C",IF(M39&gt;=35,"D","F")))))</f>
      </c>
    </row>
    <row r="40" spans="1:14" x14ac:dyDescent="0.25">
      <c r="A40" s="10">
        <f>'Market Input'!A15</f>
      </c>
      <c r="B40" s="10">
        <f>'Market Input'!D15</f>
      </c>
      <c r="C40" s="10">
        <f>IF('Market Input'!E15="",0,IF('Market Input'!E15&lt;25000,5,IF('Market Input'!E15&lt;100000,10,IF('Market Input'!E15&lt;250000,25,IF('Market Input'!E15&lt;1000000,45,50)))))</f>
      </c>
      <c r="D40" s="10">
        <f>IF('Market Input'!F15="",0,IF('Market Input'!F15&lt;40000,15,IF('Market Input'!F15&lt;60000,25,IF('Market Input'!F15&lt;80000,35,40))))</f>
      </c>
      <c r="E40" s="10">
        <f>IF(OR('Market Input'!K15="",'Market Input'!E15="",'Market Input'!E15=0),0,LET(density,'Market Input'!K15/'Market Input'!E15*100000,IF(density&lt;1,10,IF(density&lt;5,25,IF(density&lt;15,40,30)))))</f>
      </c>
      <c r="F40" s="10">
        <f>IF('Market Input'!N15="",0,IF('Market Input'!N15=0,0,IF('Market Input'!N15&lt;5000,10,IF('Market Input'!N15&lt;15000,25,IF('Market Input'!N15&lt;30000,35,40)))))</f>
      </c>
      <c r="G40" s="10">
        <f>IF('Market Input'!Q15="",0,IF('Market Input'!Q15="Very Friendly",40,IF('Market Input'!Q15="Friendly",30,IF('Market Input'!Q15="Moderate",20,IF('Market Input'!Q15="Restrictive",10,0)))))</f>
      </c>
      <c r="H40" s="10">
        <f>IF('Market Input'!R15="",0,IF('Market Input'!R15="None",0,IF('Market Input'!R15="Low",10,IF('Market Input'!R15="Moderate",25,IF('Market Input'!R15="High",35,40)))))</f>
      </c>
      <c r="I40" s="10">
        <f>IF('Market Input'!G15="",0,IF('Market Input'!G15="Urban",40,IF('Market Input'!G15="College Town",38,IF('Market Input'!G15="Suburban",25,10))))</f>
      </c>
      <c r="J40" s="10">
        <f>IF('Market Input'!O15="",0,IF('Market Input'!O15="None",40,IF('Market Input'!O15="Weak",30,IF('Market Input'!O15="Moderate",15,5))))</f>
      </c>
      <c r="K40" s="10">
        <f>IF('Market Input'!P15="",0,IF('Market Input'!P15="None",5,IF('Market Input'!P15="Contact Only",15,IF('Market Input'!P15="Active Advocate",30,40))))</f>
      </c>
      <c r="L40" s="10">
        <f>IF('Market Input'!M15="",0,IF('Market Input'!M15&lt;120,10,IF('Market Input'!M15&lt;180,20,IF('Market Input'!M15&lt;240,30,40))))</f>
      </c>
      <c r="M40" s="15">
        <f>IF('Market Input'!D15="","",ROUND((C40*0.20+D40*0.10+E40*0.10+F40*0.15+G40*0.10+H40*0.10+I40*0.10+J40*0.05+K40*0.05+L40*0.05)/40*100,0))</f>
      </c>
      <c r="N40" s="12">
        <f>IF(M40="","",IF(M40&gt;=80,"A",IF(M40&gt;=65,"B",IF(M40&gt;=50,"C",IF(M40&gt;=35,"D","F")))))</f>
      </c>
    </row>
    <row r="41" spans="1:14" x14ac:dyDescent="0.25">
      <c r="A41" s="10">
        <f>'Market Input'!A16</f>
      </c>
      <c r="B41" s="10">
        <f>'Market Input'!D16</f>
      </c>
      <c r="C41" s="10">
        <f>IF('Market Input'!E16="",0,IF('Market Input'!E16&lt;25000,5,IF('Market Input'!E16&lt;100000,10,IF('Market Input'!E16&lt;250000,25,IF('Market Input'!E16&lt;1000000,45,50)))))</f>
      </c>
      <c r="D41" s="10">
        <f>IF('Market Input'!F16="",0,IF('Market Input'!F16&lt;40000,15,IF('Market Input'!F16&lt;60000,25,IF('Market Input'!F16&lt;80000,35,40))))</f>
      </c>
      <c r="E41" s="10">
        <f>IF(OR('Market Input'!K16="",'Market Input'!E16="",'Market Input'!E16=0),0,LET(density,'Market Input'!K16/'Market Input'!E16*100000,IF(density&lt;1,10,IF(density&lt;5,25,IF(density&lt;15,40,30)))))</f>
      </c>
      <c r="F41" s="10">
        <f>IF('Market Input'!N16="",0,IF('Market Input'!N16=0,0,IF('Market Input'!N16&lt;5000,10,IF('Market Input'!N16&lt;15000,25,IF('Market Input'!N16&lt;30000,35,40)))))</f>
      </c>
      <c r="G41" s="10">
        <f>IF('Market Input'!Q16="",0,IF('Market Input'!Q16="Very Friendly",40,IF('Market Input'!Q16="Friendly",30,IF('Market Input'!Q16="Moderate",20,IF('Market Input'!Q16="Restrictive",10,0)))))</f>
      </c>
      <c r="H41" s="10">
        <f>IF('Market Input'!R16="",0,IF('Market Input'!R16="None",0,IF('Market Input'!R16="Low",10,IF('Market Input'!R16="Moderate",25,IF('Market Input'!R16="High",35,40)))))</f>
      </c>
      <c r="I41" s="10">
        <f>IF('Market Input'!G16="",0,IF('Market Input'!G16="Urban",40,IF('Market Input'!G16="College Town",38,IF('Market Input'!G16="Suburban",25,10))))</f>
      </c>
      <c r="J41" s="10">
        <f>IF('Market Input'!O16="",0,IF('Market Input'!O16="None",40,IF('Market Input'!O16="Weak",30,IF('Market Input'!O16="Moderate",15,5))))</f>
      </c>
      <c r="K41" s="10">
        <f>IF('Market Input'!P16="",0,IF('Market Input'!P16="None",5,IF('Market Input'!P16="Contact Only",15,IF('Market Input'!P16="Active Advocate",30,40))))</f>
      </c>
      <c r="L41" s="10">
        <f>IF('Market Input'!M16="",0,IF('Market Input'!M16&lt;120,10,IF('Market Input'!M16&lt;180,20,IF('Market Input'!M16&lt;240,30,40))))</f>
      </c>
      <c r="M41" s="15">
        <f>IF('Market Input'!D16="","",ROUND((C41*0.20+D41*0.10+E41*0.10+F41*0.15+G41*0.10+H41*0.10+I41*0.10+J41*0.05+K41*0.05+L41*0.05)/40*100,0))</f>
      </c>
      <c r="N41" s="12">
        <f>IF(M41="","",IF(M41&gt;=80,"A",IF(M41&gt;=65,"B",IF(M41&gt;=50,"C",IF(M41&gt;=35,"D","F")))))</f>
      </c>
    </row>
    <row r="42" spans="1:14" x14ac:dyDescent="0.25">
      <c r="A42" s="10">
        <f>'Market Input'!A17</f>
      </c>
      <c r="B42" s="10">
        <f>'Market Input'!D17</f>
      </c>
      <c r="C42" s="10">
        <f>IF('Market Input'!E17="",0,IF('Market Input'!E17&lt;25000,5,IF('Market Input'!E17&lt;100000,10,IF('Market Input'!E17&lt;250000,25,IF('Market Input'!E17&lt;1000000,45,50)))))</f>
      </c>
      <c r="D42" s="10">
        <f>IF('Market Input'!F17="",0,IF('Market Input'!F17&lt;40000,15,IF('Market Input'!F17&lt;60000,25,IF('Market Input'!F17&lt;80000,35,40))))</f>
      </c>
      <c r="E42" s="10">
        <f>IF(OR('Market Input'!K17="",'Market Input'!E17="",'Market Input'!E17=0),0,LET(density,'Market Input'!K17/'Market Input'!E17*100000,IF(density&lt;1,10,IF(density&lt;5,25,IF(density&lt;15,40,30)))))</f>
      </c>
      <c r="F42" s="10">
        <f>IF('Market Input'!N17="",0,IF('Market Input'!N17=0,0,IF('Market Input'!N17&lt;5000,10,IF('Market Input'!N17&lt;15000,25,IF('Market Input'!N17&lt;30000,35,40)))))</f>
      </c>
      <c r="G42" s="10">
        <f>IF('Market Input'!Q17="",0,IF('Market Input'!Q17="Very Friendly",40,IF('Market Input'!Q17="Friendly",30,IF('Market Input'!Q17="Moderate",20,IF('Market Input'!Q17="Restrictive",10,0)))))</f>
      </c>
      <c r="H42" s="10">
        <f>IF('Market Input'!R17="",0,IF('Market Input'!R17="None",0,IF('Market Input'!R17="Low",10,IF('Market Input'!R17="Moderate",25,IF('Market Input'!R17="High",35,40)))))</f>
      </c>
      <c r="I42" s="10">
        <f>IF('Market Input'!G17="",0,IF('Market Input'!G17="Urban",40,IF('Market Input'!G17="College Town",38,IF('Market Input'!G17="Suburban",25,10))))</f>
      </c>
      <c r="J42" s="10">
        <f>IF('Market Input'!O17="",0,IF('Market Input'!O17="None",40,IF('Market Input'!O17="Weak",30,IF('Market Input'!O17="Moderate",15,5))))</f>
      </c>
      <c r="K42" s="10">
        <f>IF('Market Input'!P17="",0,IF('Market Input'!P17="None",5,IF('Market Input'!P17="Contact Only",15,IF('Market Input'!P17="Active Advocate",30,40))))</f>
      </c>
      <c r="L42" s="10">
        <f>IF('Market Input'!M17="",0,IF('Market Input'!M17&lt;120,10,IF('Market Input'!M17&lt;180,20,IF('Market Input'!M17&lt;240,30,40))))</f>
      </c>
      <c r="M42" s="15">
        <f>IF('Market Input'!D17="","",ROUND((C42*0.20+D42*0.10+E42*0.10+F42*0.15+G42*0.10+H42*0.10+I42*0.10+J42*0.05+K42*0.05+L42*0.05)/40*100,0))</f>
      </c>
      <c r="N42" s="12">
        <f>IF(M42="","",IF(M42&gt;=80,"A",IF(M42&gt;=65,"B",IF(M42&gt;=50,"C",IF(M42&gt;=35,"D","F")))))</f>
      </c>
    </row>
    <row r="43" spans="1:14" x14ac:dyDescent="0.25">
      <c r="A43" s="10">
        <f>'Market Input'!A18</f>
      </c>
      <c r="B43" s="10">
        <f>'Market Input'!D18</f>
      </c>
      <c r="C43" s="10">
        <f>IF('Market Input'!E18="",0,IF('Market Input'!E18&lt;25000,5,IF('Market Input'!E18&lt;100000,10,IF('Market Input'!E18&lt;250000,25,IF('Market Input'!E18&lt;1000000,45,50)))))</f>
      </c>
      <c r="D43" s="10">
        <f>IF('Market Input'!F18="",0,IF('Market Input'!F18&lt;40000,15,IF('Market Input'!F18&lt;60000,25,IF('Market Input'!F18&lt;80000,35,40))))</f>
      </c>
      <c r="E43" s="10">
        <f>IF(OR('Market Input'!K18="",'Market Input'!E18="",'Market Input'!E18=0),0,LET(density,'Market Input'!K18/'Market Input'!E18*100000,IF(density&lt;1,10,IF(density&lt;5,25,IF(density&lt;15,40,30)))))</f>
      </c>
      <c r="F43" s="10">
        <f>IF('Market Input'!N18="",0,IF('Market Input'!N18=0,0,IF('Market Input'!N18&lt;5000,10,IF('Market Input'!N18&lt;15000,25,IF('Market Input'!N18&lt;30000,35,40)))))</f>
      </c>
      <c r="G43" s="10">
        <f>IF('Market Input'!Q18="",0,IF('Market Input'!Q18="Very Friendly",40,IF('Market Input'!Q18="Friendly",30,IF('Market Input'!Q18="Moderate",20,IF('Market Input'!Q18="Restrictive",10,0)))))</f>
      </c>
      <c r="H43" s="10">
        <f>IF('Market Input'!R18="",0,IF('Market Input'!R18="None",0,IF('Market Input'!R18="Low",10,IF('Market Input'!R18="Moderate",25,IF('Market Input'!R18="High",35,40)))))</f>
      </c>
      <c r="I43" s="10">
        <f>IF('Market Input'!G18="",0,IF('Market Input'!G18="Urban",40,IF('Market Input'!G18="College Town",38,IF('Market Input'!G18="Suburban",25,10))))</f>
      </c>
      <c r="J43" s="10">
        <f>IF('Market Input'!O18="",0,IF('Market Input'!O18="None",40,IF('Market Input'!O18="Weak",30,IF('Market Input'!O18="Moderate",15,5))))</f>
      </c>
      <c r="K43" s="10">
        <f>IF('Market Input'!P18="",0,IF('Market Input'!P18="None",5,IF('Market Input'!P18="Contact Only",15,IF('Market Input'!P18="Active Advocate",30,40))))</f>
      </c>
      <c r="L43" s="10">
        <f>IF('Market Input'!M18="",0,IF('Market Input'!M18&lt;120,10,IF('Market Input'!M18&lt;180,20,IF('Market Input'!M18&lt;240,30,40))))</f>
      </c>
      <c r="M43" s="15">
        <f>IF('Market Input'!D18="","",ROUND((C43*0.20+D43*0.10+E43*0.10+F43*0.15+G43*0.10+H43*0.10+I43*0.10+J43*0.05+K43*0.05+L43*0.05)/40*100,0))</f>
      </c>
      <c r="N43" s="12">
        <f>IF(M43="","",IF(M43&gt;=80,"A",IF(M43&gt;=65,"B",IF(M43&gt;=50,"C",IF(M43&gt;=35,"D","F")))))</f>
      </c>
    </row>
    <row r="44" spans="1:14" x14ac:dyDescent="0.25">
      <c r="A44" s="10">
        <f>'Market Input'!A19</f>
      </c>
      <c r="B44" s="10">
        <f>'Market Input'!D19</f>
      </c>
      <c r="C44" s="10">
        <f>IF('Market Input'!E19="",0,IF('Market Input'!E19&lt;25000,5,IF('Market Input'!E19&lt;100000,10,IF('Market Input'!E19&lt;250000,25,IF('Market Input'!E19&lt;1000000,45,50)))))</f>
      </c>
      <c r="D44" s="10">
        <f>IF('Market Input'!F19="",0,IF('Market Input'!F19&lt;40000,15,IF('Market Input'!F19&lt;60000,25,IF('Market Input'!F19&lt;80000,35,40))))</f>
      </c>
      <c r="E44" s="10">
        <f>IF(OR('Market Input'!K19="",'Market Input'!E19="",'Market Input'!E19=0),0,LET(density,'Market Input'!K19/'Market Input'!E19*100000,IF(density&lt;1,10,IF(density&lt;5,25,IF(density&lt;15,40,30)))))</f>
      </c>
      <c r="F44" s="10">
        <f>IF('Market Input'!N19="",0,IF('Market Input'!N19=0,0,IF('Market Input'!N19&lt;5000,10,IF('Market Input'!N19&lt;15000,25,IF('Market Input'!N19&lt;30000,35,40)))))</f>
      </c>
      <c r="G44" s="10">
        <f>IF('Market Input'!Q19="",0,IF('Market Input'!Q19="Very Friendly",40,IF('Market Input'!Q19="Friendly",30,IF('Market Input'!Q19="Moderate",20,IF('Market Input'!Q19="Restrictive",10,0)))))</f>
      </c>
      <c r="H44" s="10">
        <f>IF('Market Input'!R19="",0,IF('Market Input'!R19="None",0,IF('Market Input'!R19="Low",10,IF('Market Input'!R19="Moderate",25,IF('Market Input'!R19="High",35,40)))))</f>
      </c>
      <c r="I44" s="10">
        <f>IF('Market Input'!G19="",0,IF('Market Input'!G19="Urban",40,IF('Market Input'!G19="College Town",38,IF('Market Input'!G19="Suburban",25,10))))</f>
      </c>
      <c r="J44" s="10">
        <f>IF('Market Input'!O19="",0,IF('Market Input'!O19="None",40,IF('Market Input'!O19="Weak",30,IF('Market Input'!O19="Moderate",15,5))))</f>
      </c>
      <c r="K44" s="10">
        <f>IF('Market Input'!P19="",0,IF('Market Input'!P19="None",5,IF('Market Input'!P19="Contact Only",15,IF('Market Input'!P19="Active Advocate",30,40))))</f>
      </c>
      <c r="L44" s="10">
        <f>IF('Market Input'!M19="",0,IF('Market Input'!M19&lt;120,10,IF('Market Input'!M19&lt;180,20,IF('Market Input'!M19&lt;240,30,40))))</f>
      </c>
      <c r="M44" s="15">
        <f>IF('Market Input'!D19="","",ROUND((C44*0.20+D44*0.10+E44*0.10+F44*0.15+G44*0.10+H44*0.10+I44*0.10+J44*0.05+K44*0.05+L44*0.05)/40*100,0))</f>
      </c>
      <c r="N44" s="12">
        <f>IF(M44="","",IF(M44&gt;=80,"A",IF(M44&gt;=65,"B",IF(M44&gt;=50,"C",IF(M44&gt;=35,"D","F")))))</f>
      </c>
    </row>
    <row r="45" spans="1:14" x14ac:dyDescent="0.25">
      <c r="A45" s="10">
        <f>'Market Input'!A20</f>
      </c>
      <c r="B45" s="10">
        <f>'Market Input'!D20</f>
      </c>
      <c r="C45" s="10">
        <f>IF('Market Input'!E20="",0,IF('Market Input'!E20&lt;25000,5,IF('Market Input'!E20&lt;100000,10,IF('Market Input'!E20&lt;250000,25,IF('Market Input'!E20&lt;1000000,45,50)))))</f>
      </c>
      <c r="D45" s="10">
        <f>IF('Market Input'!F20="",0,IF('Market Input'!F20&lt;40000,15,IF('Market Input'!F20&lt;60000,25,IF('Market Input'!F20&lt;80000,35,40))))</f>
      </c>
      <c r="E45" s="10">
        <f>IF(OR('Market Input'!K20="",'Market Input'!E20="",'Market Input'!E20=0),0,LET(density,'Market Input'!K20/'Market Input'!E20*100000,IF(density&lt;1,10,IF(density&lt;5,25,IF(density&lt;15,40,30)))))</f>
      </c>
      <c r="F45" s="10">
        <f>IF('Market Input'!N20="",0,IF('Market Input'!N20=0,0,IF('Market Input'!N20&lt;5000,10,IF('Market Input'!N20&lt;15000,25,IF('Market Input'!N20&lt;30000,35,40)))))</f>
      </c>
      <c r="G45" s="10">
        <f>IF('Market Input'!Q20="",0,IF('Market Input'!Q20="Very Friendly",40,IF('Market Input'!Q20="Friendly",30,IF('Market Input'!Q20="Moderate",20,IF('Market Input'!Q20="Restrictive",10,0)))))</f>
      </c>
      <c r="H45" s="10">
        <f>IF('Market Input'!R20="",0,IF('Market Input'!R20="None",0,IF('Market Input'!R20="Low",10,IF('Market Input'!R20="Moderate",25,IF('Market Input'!R20="High",35,40)))))</f>
      </c>
      <c r="I45" s="10">
        <f>IF('Market Input'!G20="",0,IF('Market Input'!G20="Urban",40,IF('Market Input'!G20="College Town",38,IF('Market Input'!G20="Suburban",25,10))))</f>
      </c>
      <c r="J45" s="10">
        <f>IF('Market Input'!O20="",0,IF('Market Input'!O20="None",40,IF('Market Input'!O20="Weak",30,IF('Market Input'!O20="Moderate",15,5))))</f>
      </c>
      <c r="K45" s="10">
        <f>IF('Market Input'!P20="",0,IF('Market Input'!P20="None",5,IF('Market Input'!P20="Contact Only",15,IF('Market Input'!P20="Active Advocate",30,40))))</f>
      </c>
      <c r="L45" s="10">
        <f>IF('Market Input'!M20="",0,IF('Market Input'!M20&lt;120,10,IF('Market Input'!M20&lt;180,20,IF('Market Input'!M20&lt;240,30,40))))</f>
      </c>
      <c r="M45" s="15">
        <f>IF('Market Input'!D20="","",ROUND((C45*0.20+D45*0.10+E45*0.10+F45*0.15+G45*0.10+H45*0.10+I45*0.10+J45*0.05+K45*0.05+L45*0.05)/40*100,0))</f>
      </c>
      <c r="N45" s="12">
        <f>IF(M45="","",IF(M45&gt;=80,"A",IF(M45&gt;=65,"B",IF(M45&gt;=50,"C",IF(M45&gt;=35,"D","F")))))</f>
      </c>
    </row>
    <row r="46" spans="1:14" x14ac:dyDescent="0.25">
      <c r="A46" s="10">
        <f>'Market Input'!A21</f>
      </c>
      <c r="B46" s="10">
        <f>'Market Input'!D21</f>
      </c>
      <c r="C46" s="10">
        <f>IF('Market Input'!E21="",0,IF('Market Input'!E21&lt;25000,5,IF('Market Input'!E21&lt;100000,10,IF('Market Input'!E21&lt;250000,25,IF('Market Input'!E21&lt;1000000,45,50)))))</f>
      </c>
      <c r="D46" s="10">
        <f>IF('Market Input'!F21="",0,IF('Market Input'!F21&lt;40000,15,IF('Market Input'!F21&lt;60000,25,IF('Market Input'!F21&lt;80000,35,40))))</f>
      </c>
      <c r="E46" s="10">
        <f>IF(OR('Market Input'!K21="",'Market Input'!E21="",'Market Input'!E21=0),0,LET(density,'Market Input'!K21/'Market Input'!E21*100000,IF(density&lt;1,10,IF(density&lt;5,25,IF(density&lt;15,40,30)))))</f>
      </c>
      <c r="F46" s="10">
        <f>IF('Market Input'!N21="",0,IF('Market Input'!N21=0,0,IF('Market Input'!N21&lt;5000,10,IF('Market Input'!N21&lt;15000,25,IF('Market Input'!N21&lt;30000,35,40)))))</f>
      </c>
      <c r="G46" s="10">
        <f>IF('Market Input'!Q21="",0,IF('Market Input'!Q21="Very Friendly",40,IF('Market Input'!Q21="Friendly",30,IF('Market Input'!Q21="Moderate",20,IF('Market Input'!Q21="Restrictive",10,0)))))</f>
      </c>
      <c r="H46" s="10">
        <f>IF('Market Input'!R21="",0,IF('Market Input'!R21="None",0,IF('Market Input'!R21="Low",10,IF('Market Input'!R21="Moderate",25,IF('Market Input'!R21="High",35,40)))))</f>
      </c>
      <c r="I46" s="10">
        <f>IF('Market Input'!G21="",0,IF('Market Input'!G21="Urban",40,IF('Market Input'!G21="College Town",38,IF('Market Input'!G21="Suburban",25,10))))</f>
      </c>
      <c r="J46" s="10">
        <f>IF('Market Input'!O21="",0,IF('Market Input'!O21="None",40,IF('Market Input'!O21="Weak",30,IF('Market Input'!O21="Moderate",15,5))))</f>
      </c>
      <c r="K46" s="10">
        <f>IF('Market Input'!P21="",0,IF('Market Input'!P21="None",5,IF('Market Input'!P21="Contact Only",15,IF('Market Input'!P21="Active Advocate",30,40))))</f>
      </c>
      <c r="L46" s="10">
        <f>IF('Market Input'!M21="",0,IF('Market Input'!M21&lt;120,10,IF('Market Input'!M21&lt;180,20,IF('Market Input'!M21&lt;240,30,40))))</f>
      </c>
      <c r="M46" s="15">
        <f>IF('Market Input'!D21="","",ROUND((C46*0.20+D46*0.10+E46*0.10+F46*0.15+G46*0.10+H46*0.10+I46*0.10+J46*0.05+K46*0.05+L46*0.05)/40*100,0))</f>
      </c>
      <c r="N46" s="12">
        <f>IF(M46="","",IF(M46&gt;=80,"A",IF(M46&gt;=65,"B",IF(M46&gt;=50,"C",IF(M46&gt;=35,"D","F")))))</f>
      </c>
    </row>
    <row r="47" spans="1:14" x14ac:dyDescent="0.25">
      <c r="A47" s="10">
        <f>'Market Input'!A22</f>
      </c>
      <c r="B47" s="10">
        <f>'Market Input'!D22</f>
      </c>
      <c r="C47" s="10">
        <f>IF('Market Input'!E22="",0,IF('Market Input'!E22&lt;25000,5,IF('Market Input'!E22&lt;100000,10,IF('Market Input'!E22&lt;250000,25,IF('Market Input'!E22&lt;1000000,45,50)))))</f>
      </c>
      <c r="D47" s="10">
        <f>IF('Market Input'!F22="",0,IF('Market Input'!F22&lt;40000,15,IF('Market Input'!F22&lt;60000,25,IF('Market Input'!F22&lt;80000,35,40))))</f>
      </c>
      <c r="E47" s="10">
        <f>IF(OR('Market Input'!K22="",'Market Input'!E22="",'Market Input'!E22=0),0,LET(density,'Market Input'!K22/'Market Input'!E22*100000,IF(density&lt;1,10,IF(density&lt;5,25,IF(density&lt;15,40,30)))))</f>
      </c>
      <c r="F47" s="10">
        <f>IF('Market Input'!N22="",0,IF('Market Input'!N22=0,0,IF('Market Input'!N22&lt;5000,10,IF('Market Input'!N22&lt;15000,25,IF('Market Input'!N22&lt;30000,35,40)))))</f>
      </c>
      <c r="G47" s="10">
        <f>IF('Market Input'!Q22="",0,IF('Market Input'!Q22="Very Friendly",40,IF('Market Input'!Q22="Friendly",30,IF('Market Input'!Q22="Moderate",20,IF('Market Input'!Q22="Restrictive",10,0)))))</f>
      </c>
      <c r="H47" s="10">
        <f>IF('Market Input'!R22="",0,IF('Market Input'!R22="None",0,IF('Market Input'!R22="Low",10,IF('Market Input'!R22="Moderate",25,IF('Market Input'!R22="High",35,40)))))</f>
      </c>
      <c r="I47" s="10">
        <f>IF('Market Input'!G22="",0,IF('Market Input'!G22="Urban",40,IF('Market Input'!G22="College Town",38,IF('Market Input'!G22="Suburban",25,10))))</f>
      </c>
      <c r="J47" s="10">
        <f>IF('Market Input'!O22="",0,IF('Market Input'!O22="None",40,IF('Market Input'!O22="Weak",30,IF('Market Input'!O22="Moderate",15,5))))</f>
      </c>
      <c r="K47" s="10">
        <f>IF('Market Input'!P22="",0,IF('Market Input'!P22="None",5,IF('Market Input'!P22="Contact Only",15,IF('Market Input'!P22="Active Advocate",30,40))))</f>
      </c>
      <c r="L47" s="10">
        <f>IF('Market Input'!M22="",0,IF('Market Input'!M22&lt;120,10,IF('Market Input'!M22&lt;180,20,IF('Market Input'!M22&lt;240,30,40))))</f>
      </c>
      <c r="M47" s="15">
        <f>IF('Market Input'!D22="","",ROUND((C47*0.20+D47*0.10+E47*0.10+F47*0.15+G47*0.10+H47*0.10+I47*0.10+J47*0.05+K47*0.05+L47*0.05)/40*100,0))</f>
      </c>
      <c r="N47" s="12">
        <f>IF(M47="","",IF(M47&gt;=80,"A",IF(M47&gt;=65,"B",IF(M47&gt;=50,"C",IF(M47&gt;=35,"D","F")))))</f>
      </c>
    </row>
    <row r="48" spans="1:14" x14ac:dyDescent="0.25">
      <c r="A48" s="10">
        <f>'Market Input'!A23</f>
      </c>
      <c r="B48" s="10">
        <f>'Market Input'!D23</f>
      </c>
      <c r="C48" s="10">
        <f>IF('Market Input'!E23="",0,IF('Market Input'!E23&lt;25000,5,IF('Market Input'!E23&lt;100000,10,IF('Market Input'!E23&lt;250000,25,IF('Market Input'!E23&lt;1000000,45,50)))))</f>
      </c>
      <c r="D48" s="10">
        <f>IF('Market Input'!F23="",0,IF('Market Input'!F23&lt;40000,15,IF('Market Input'!F23&lt;60000,25,IF('Market Input'!F23&lt;80000,35,40))))</f>
      </c>
      <c r="E48" s="10">
        <f>IF(OR('Market Input'!K23="",'Market Input'!E23="",'Market Input'!E23=0),0,LET(density,'Market Input'!K23/'Market Input'!E23*100000,IF(density&lt;1,10,IF(density&lt;5,25,IF(density&lt;15,40,30)))))</f>
      </c>
      <c r="F48" s="10">
        <f>IF('Market Input'!N23="",0,IF('Market Input'!N23=0,0,IF('Market Input'!N23&lt;5000,10,IF('Market Input'!N23&lt;15000,25,IF('Market Input'!N23&lt;30000,35,40)))))</f>
      </c>
      <c r="G48" s="10">
        <f>IF('Market Input'!Q23="",0,IF('Market Input'!Q23="Very Friendly",40,IF('Market Input'!Q23="Friendly",30,IF('Market Input'!Q23="Moderate",20,IF('Market Input'!Q23="Restrictive",10,0)))))</f>
      </c>
      <c r="H48" s="10">
        <f>IF('Market Input'!R23="",0,IF('Market Input'!R23="None",0,IF('Market Input'!R23="Low",10,IF('Market Input'!R23="Moderate",25,IF('Market Input'!R23="High",35,40)))))</f>
      </c>
      <c r="I48" s="10">
        <f>IF('Market Input'!G23="",0,IF('Market Input'!G23="Urban",40,IF('Market Input'!G23="College Town",38,IF('Market Input'!G23="Suburban",25,10))))</f>
      </c>
      <c r="J48" s="10">
        <f>IF('Market Input'!O23="",0,IF('Market Input'!O23="None",40,IF('Market Input'!O23="Weak",30,IF('Market Input'!O23="Moderate",15,5))))</f>
      </c>
      <c r="K48" s="10">
        <f>IF('Market Input'!P23="",0,IF('Market Input'!P23="None",5,IF('Market Input'!P23="Contact Only",15,IF('Market Input'!P23="Active Advocate",30,40))))</f>
      </c>
      <c r="L48" s="10">
        <f>IF('Market Input'!M23="",0,IF('Market Input'!M23&lt;120,10,IF('Market Input'!M23&lt;180,20,IF('Market Input'!M23&lt;240,30,40))))</f>
      </c>
      <c r="M48" s="15">
        <f>IF('Market Input'!D23="","",ROUND((C48*0.20+D48*0.10+E48*0.10+F48*0.15+G48*0.10+H48*0.10+I48*0.10+J48*0.05+K48*0.05+L48*0.05)/40*100,0))</f>
      </c>
      <c r="N48" s="12">
        <f>IF(M48="","",IF(M48&gt;=80,"A",IF(M48&gt;=65,"B",IF(M48&gt;=50,"C",IF(M48&gt;=35,"D","F")))))</f>
      </c>
    </row>
    <row r="49" spans="1:14" x14ac:dyDescent="0.25">
      <c r="A49" s="10">
        <f>'Market Input'!A24</f>
      </c>
      <c r="B49" s="10">
        <f>'Market Input'!D24</f>
      </c>
      <c r="C49" s="10">
        <f>IF('Market Input'!E24="",0,IF('Market Input'!E24&lt;25000,5,IF('Market Input'!E24&lt;100000,10,IF('Market Input'!E24&lt;250000,25,IF('Market Input'!E24&lt;1000000,45,50)))))</f>
      </c>
      <c r="D49" s="10">
        <f>IF('Market Input'!F24="",0,IF('Market Input'!F24&lt;40000,15,IF('Market Input'!F24&lt;60000,25,IF('Market Input'!F24&lt;80000,35,40))))</f>
      </c>
      <c r="E49" s="10">
        <f>IF(OR('Market Input'!K24="",'Market Input'!E24="",'Market Input'!E24=0),0,LET(density,'Market Input'!K24/'Market Input'!E24*100000,IF(density&lt;1,10,IF(density&lt;5,25,IF(density&lt;15,40,30)))))</f>
      </c>
      <c r="F49" s="10">
        <f>IF('Market Input'!N24="",0,IF('Market Input'!N24=0,0,IF('Market Input'!N24&lt;5000,10,IF('Market Input'!N24&lt;15000,25,IF('Market Input'!N24&lt;30000,35,40)))))</f>
      </c>
      <c r="G49" s="10">
        <f>IF('Market Input'!Q24="",0,IF('Market Input'!Q24="Very Friendly",40,IF('Market Input'!Q24="Friendly",30,IF('Market Input'!Q24="Moderate",20,IF('Market Input'!Q24="Restrictive",10,0)))))</f>
      </c>
      <c r="H49" s="10">
        <f>IF('Market Input'!R24="",0,IF('Market Input'!R24="None",0,IF('Market Input'!R24="Low",10,IF('Market Input'!R24="Moderate",25,IF('Market Input'!R24="High",35,40)))))</f>
      </c>
      <c r="I49" s="10">
        <f>IF('Market Input'!G24="",0,IF('Market Input'!G24="Urban",40,IF('Market Input'!G24="College Town",38,IF('Market Input'!G24="Suburban",25,10))))</f>
      </c>
      <c r="J49" s="10">
        <f>IF('Market Input'!O24="",0,IF('Market Input'!O24="None",40,IF('Market Input'!O24="Weak",30,IF('Market Input'!O24="Moderate",15,5))))</f>
      </c>
      <c r="K49" s="10">
        <f>IF('Market Input'!P24="",0,IF('Market Input'!P24="None",5,IF('Market Input'!P24="Contact Only",15,IF('Market Input'!P24="Active Advocate",30,40))))</f>
      </c>
      <c r="L49" s="10">
        <f>IF('Market Input'!M24="",0,IF('Market Input'!M24&lt;120,10,IF('Market Input'!M24&lt;180,20,IF('Market Input'!M24&lt;240,30,40))))</f>
      </c>
      <c r="M49" s="15">
        <f>IF('Market Input'!D24="","",ROUND((C49*0.20+D49*0.10+E49*0.10+F49*0.15+G49*0.10+H49*0.10+I49*0.10+J49*0.05+K49*0.05+L49*0.05)/40*100,0))</f>
      </c>
      <c r="N49" s="12">
        <f>IF(M49="","",IF(M49&gt;=80,"A",IF(M49&gt;=65,"B",IF(M49&gt;=50,"C",IF(M49&gt;=35,"D","F")))))</f>
      </c>
    </row>
  </sheetData>
  <mergeCells count="3">
    <mergeCell ref="A1:P1"/>
    <mergeCell ref="A2:P2"/>
    <mergeCell ref="A27:N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L49"/>
  <sheetFormatPr defaultRowHeight="15" outlineLevelRow="0" outlineLevelCol="0" x14ac:dyDescent="55"/>
  <cols>
    <col min="1" max="1" width="10" customWidth="1"/>
    <col min="2" max="3" width="20" customWidth="1"/>
    <col min="4" max="4" width="16" customWidth="1"/>
    <col min="5" max="5" width="40" customWidth="1"/>
    <col min="6" max="6" width="14" customWidth="1"/>
    <col min="7" max="7" width="12" customWidth="1"/>
    <col min="8" max="10" width="14" customWidth="1"/>
    <col min="11" max="11" width="16" customWidth="1"/>
    <col min="12" max="12" width="14" customWidth="1"/>
  </cols>
  <sheetData>
    <row r="1" spans="1:12" x14ac:dyDescent="0.25">
      <c r="A1" s="16" t="s">
        <v>62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3" spans="1:1" x14ac:dyDescent="0.25">
      <c r="A3" s="17" t="s">
        <v>63</v>
      </c>
    </row>
    <row r="4" ht="25" customHeight="1" spans="1:5" x14ac:dyDescent="0.25">
      <c r="A4" s="18" t="s">
        <v>64</v>
      </c>
      <c r="B4" s="18" t="s">
        <v>65</v>
      </c>
      <c r="C4" s="18" t="s">
        <v>66</v>
      </c>
      <c r="D4" s="18" t="s">
        <v>67</v>
      </c>
      <c r="E4" s="18" t="s">
        <v>68</v>
      </c>
    </row>
    <row r="5" spans="1:5" x14ac:dyDescent="0.25">
      <c r="A5" s="10" t="s">
        <v>69</v>
      </c>
      <c r="B5" s="10" t="s">
        <v>70</v>
      </c>
      <c r="C5" s="19" t="s">
        <v>71</v>
      </c>
      <c r="D5" s="19" t="s">
        <v>72</v>
      </c>
      <c r="E5" s="10" t="s">
        <v>73</v>
      </c>
    </row>
    <row r="6" spans="1:5" x14ac:dyDescent="0.25">
      <c r="A6" s="10" t="s">
        <v>74</v>
      </c>
      <c r="B6" s="10" t="s">
        <v>75</v>
      </c>
      <c r="C6" s="19" t="s">
        <v>76</v>
      </c>
      <c r="D6" s="19" t="s">
        <v>77</v>
      </c>
      <c r="E6" s="10" t="s">
        <v>78</v>
      </c>
    </row>
    <row r="7" spans="1:5" x14ac:dyDescent="0.25">
      <c r="A7" s="10" t="s">
        <v>79</v>
      </c>
      <c r="B7" s="10" t="s">
        <v>80</v>
      </c>
      <c r="C7" s="19" t="s">
        <v>81</v>
      </c>
      <c r="D7" s="19" t="s">
        <v>82</v>
      </c>
      <c r="E7" s="10" t="s">
        <v>83</v>
      </c>
    </row>
    <row r="8" spans="1:5" x14ac:dyDescent="0.25">
      <c r="A8" s="10" t="s">
        <v>84</v>
      </c>
      <c r="B8" s="10" t="s">
        <v>85</v>
      </c>
      <c r="C8" s="19" t="s">
        <v>86</v>
      </c>
      <c r="D8" s="19" t="s">
        <v>87</v>
      </c>
      <c r="E8" s="10" t="s">
        <v>83</v>
      </c>
    </row>
    <row r="9" spans="1:5" x14ac:dyDescent="0.25">
      <c r="A9" s="10" t="s">
        <v>88</v>
      </c>
      <c r="B9" s="10" t="s">
        <v>89</v>
      </c>
      <c r="C9" s="19" t="s">
        <v>90</v>
      </c>
      <c r="D9" s="19" t="s">
        <v>91</v>
      </c>
      <c r="E9" s="10" t="s">
        <v>92</v>
      </c>
    </row>
    <row r="10" spans="1:5" x14ac:dyDescent="0.25">
      <c r="A10" s="10" t="s">
        <v>93</v>
      </c>
      <c r="B10" s="10" t="s">
        <v>94</v>
      </c>
      <c r="C10" s="19" t="s">
        <v>95</v>
      </c>
      <c r="D10" s="19" t="s">
        <v>96</v>
      </c>
      <c r="E10" s="10" t="s">
        <v>64</v>
      </c>
    </row>
    <row r="11" spans="1:5" x14ac:dyDescent="0.25">
      <c r="A11" s="10" t="s">
        <v>97</v>
      </c>
      <c r="B11" s="10" t="s">
        <v>98</v>
      </c>
      <c r="C11" s="19" t="s">
        <v>88</v>
      </c>
      <c r="D11" s="19" t="s">
        <v>99</v>
      </c>
      <c r="E11" s="10" t="s">
        <v>64</v>
      </c>
    </row>
    <row r="12" spans="1:5" x14ac:dyDescent="0.25">
      <c r="A12" s="10" t="s">
        <v>99</v>
      </c>
      <c r="B12" s="10" t="s">
        <v>100</v>
      </c>
      <c r="C12" s="19" t="s">
        <v>101</v>
      </c>
      <c r="D12" s="19" t="s">
        <v>102</v>
      </c>
      <c r="E12" s="10" t="s">
        <v>64</v>
      </c>
    </row>
    <row r="13" spans="1:5" x14ac:dyDescent="0.25">
      <c r="A13" s="10" t="s">
        <v>103</v>
      </c>
      <c r="B13" s="10" t="s">
        <v>104</v>
      </c>
      <c r="C13" s="19" t="s">
        <v>105</v>
      </c>
      <c r="D13" s="19" t="s">
        <v>106</v>
      </c>
      <c r="E13" s="10" t="s">
        <v>64</v>
      </c>
    </row>
    <row r="14" spans="1:5" x14ac:dyDescent="0.25">
      <c r="A14" s="10" t="s">
        <v>107</v>
      </c>
      <c r="B14" s="10" t="s">
        <v>108</v>
      </c>
      <c r="C14" s="19" t="s">
        <v>109</v>
      </c>
      <c r="D14" s="19" t="s">
        <v>109</v>
      </c>
      <c r="E14" s="10" t="s">
        <v>64</v>
      </c>
    </row>
    <row r="15" spans="1:5" x14ac:dyDescent="0.25">
      <c r="A15" s="10" t="s">
        <v>110</v>
      </c>
      <c r="B15" s="10" t="s">
        <v>111</v>
      </c>
      <c r="C15" s="19" t="s">
        <v>112</v>
      </c>
      <c r="D15" s="19" t="s">
        <v>112</v>
      </c>
      <c r="E15" s="10" t="s">
        <v>113</v>
      </c>
    </row>
    <row r="16" spans="1:5" x14ac:dyDescent="0.25">
      <c r="A16" s="10" t="s">
        <v>114</v>
      </c>
      <c r="B16" s="10" t="s">
        <v>115</v>
      </c>
      <c r="C16" s="19" t="s">
        <v>112</v>
      </c>
      <c r="D16" s="19" t="s">
        <v>112</v>
      </c>
      <c r="E16" s="10" t="s">
        <v>116</v>
      </c>
    </row>
    <row r="17" spans="1:5" x14ac:dyDescent="0.25">
      <c r="A17" s="10" t="s">
        <v>117</v>
      </c>
      <c r="B17" s="10" t="s">
        <v>118</v>
      </c>
      <c r="C17" s="19" t="s">
        <v>119</v>
      </c>
      <c r="D17" s="19" t="s">
        <v>119</v>
      </c>
      <c r="E17" s="10" t="s">
        <v>120</v>
      </c>
    </row>
    <row r="18" spans="1:5" x14ac:dyDescent="0.25">
      <c r="A18" s="10" t="s">
        <v>121</v>
      </c>
      <c r="B18" s="10" t="s">
        <v>122</v>
      </c>
      <c r="C18" s="19" t="s">
        <v>123</v>
      </c>
      <c r="D18" s="19" t="s">
        <v>124</v>
      </c>
      <c r="E18" s="10" t="s">
        <v>125</v>
      </c>
    </row>
    <row r="19" spans="1:5" x14ac:dyDescent="0.25">
      <c r="A19" s="10" t="s">
        <v>95</v>
      </c>
      <c r="B19" s="10" t="s">
        <v>126</v>
      </c>
      <c r="C19" s="19" t="s">
        <v>101</v>
      </c>
      <c r="D19" s="19" t="s">
        <v>127</v>
      </c>
      <c r="E19" s="10" t="s">
        <v>128</v>
      </c>
    </row>
    <row r="20" spans="1:5" x14ac:dyDescent="0.25">
      <c r="A20" s="10" t="s">
        <v>129</v>
      </c>
      <c r="B20" s="10" t="s">
        <v>130</v>
      </c>
      <c r="C20" s="19" t="s">
        <v>127</v>
      </c>
      <c r="D20" s="19" t="s">
        <v>131</v>
      </c>
      <c r="E20" s="10" t="s">
        <v>132</v>
      </c>
    </row>
    <row r="21" spans="1:5" x14ac:dyDescent="0.25">
      <c r="A21" s="10" t="s">
        <v>133</v>
      </c>
      <c r="B21" s="10" t="s">
        <v>134</v>
      </c>
      <c r="C21" s="19" t="s">
        <v>135</v>
      </c>
      <c r="D21" s="19" t="s">
        <v>135</v>
      </c>
      <c r="E21" s="10" t="s">
        <v>136</v>
      </c>
    </row>
    <row r="22" spans="1:5" x14ac:dyDescent="0.25">
      <c r="A22" s="10" t="s">
        <v>137</v>
      </c>
      <c r="B22" s="10" t="s">
        <v>138</v>
      </c>
      <c r="C22" s="19" t="s">
        <v>109</v>
      </c>
      <c r="D22" s="19" t="s">
        <v>109</v>
      </c>
      <c r="E22" s="10" t="s">
        <v>64</v>
      </c>
    </row>
    <row r="23" spans="1:5" x14ac:dyDescent="0.25">
      <c r="A23" s="10" t="s">
        <v>139</v>
      </c>
      <c r="B23" s="10" t="s">
        <v>140</v>
      </c>
      <c r="C23" s="19" t="s">
        <v>102</v>
      </c>
      <c r="D23" s="19" t="s">
        <v>102</v>
      </c>
      <c r="E23" s="10" t="s">
        <v>64</v>
      </c>
    </row>
    <row r="24" spans="1:5" x14ac:dyDescent="0.25">
      <c r="A24" s="10" t="s">
        <v>141</v>
      </c>
      <c r="B24" s="10" t="s">
        <v>142</v>
      </c>
      <c r="C24" s="19" t="s">
        <v>71</v>
      </c>
      <c r="D24" s="19" t="s">
        <v>71</v>
      </c>
      <c r="E24" s="10" t="s">
        <v>64</v>
      </c>
    </row>
    <row r="25" spans="1:5" x14ac:dyDescent="0.25">
      <c r="A25" s="10" t="s">
        <v>143</v>
      </c>
      <c r="B25" s="10" t="s">
        <v>144</v>
      </c>
      <c r="C25" s="19" t="s">
        <v>145</v>
      </c>
      <c r="D25" s="19" t="s">
        <v>145</v>
      </c>
      <c r="E25" s="10" t="s">
        <v>64</v>
      </c>
    </row>
    <row r="26" spans="1:5" x14ac:dyDescent="0.25">
      <c r="A26" s="10" t="s">
        <v>146</v>
      </c>
      <c r="B26" s="10" t="s">
        <v>147</v>
      </c>
      <c r="C26" s="19" t="s">
        <v>148</v>
      </c>
      <c r="D26" s="19" t="s">
        <v>148</v>
      </c>
      <c r="E26" s="10" t="s">
        <v>64</v>
      </c>
    </row>
    <row r="27" spans="1:5" x14ac:dyDescent="0.25">
      <c r="A27" s="10" t="s">
        <v>96</v>
      </c>
      <c r="B27" s="10" t="s">
        <v>149</v>
      </c>
      <c r="C27" s="19" t="s">
        <v>150</v>
      </c>
      <c r="D27" s="19" t="s">
        <v>150</v>
      </c>
      <c r="E27" s="10" t="s">
        <v>64</v>
      </c>
    </row>
    <row r="28" spans="1:5" x14ac:dyDescent="0.25">
      <c r="A28" s="20" t="s">
        <v>151</v>
      </c>
      <c r="B28" s="10" t="s">
        <v>152</v>
      </c>
      <c r="C28" s="19" t="s">
        <v>153</v>
      </c>
      <c r="D28" s="19" t="s">
        <v>153</v>
      </c>
      <c r="E28" s="10" t="s">
        <v>64</v>
      </c>
    </row>
    <row r="29" ht="30" customHeight="1" spans="1:12" x14ac:dyDescent="0.25">
      <c r="A29" s="3" t="s">
        <v>2</v>
      </c>
      <c r="B29" s="3" t="s">
        <v>42</v>
      </c>
      <c r="C29" s="3" t="s">
        <v>154</v>
      </c>
      <c r="D29" s="3" t="s">
        <v>155</v>
      </c>
      <c r="E29" s="3" t="s">
        <v>156</v>
      </c>
      <c r="F29" s="3" t="s">
        <v>157</v>
      </c>
      <c r="G29" s="3" t="s">
        <v>158</v>
      </c>
      <c r="H29" s="3" t="s">
        <v>159</v>
      </c>
      <c r="I29" s="3" t="s">
        <v>160</v>
      </c>
      <c r="J29" s="3" t="s">
        <v>161</v>
      </c>
      <c r="K29" s="3" t="s">
        <v>162</v>
      </c>
      <c r="L29" s="3" t="s">
        <v>163</v>
      </c>
    </row>
    <row r="30" spans="1:12" x14ac:dyDescent="0.25">
      <c r="A30" s="10">
        <f>'Market Input'!A5</f>
      </c>
      <c r="B30" s="10">
        <f>'Market Input'!D5</f>
      </c>
      <c r="C30" s="21">
        <f>'Scoring Engine'!M5</f>
      </c>
      <c r="D30" s="22">
        <f>'Scoring Engine'!M30</f>
      </c>
      <c r="E30" s="10">
        <f>IF('Market Input'!D5="","",MAX(0,ROUND(IF('Market Input'!L5="",'Market Input'!E5/20000,'Market Input'!L5*0.15)*0.05*MAX(0.5,C30/50),0)))</f>
      </c>
      <c r="F30" s="10">
        <f>IF('Market Input'!D5="","",MAX(0,ROUND(IF('Market Input'!K5="",'Market Input'!E5/5000,'Market Input'!K5)*0.03*MAX(0.5,D30/50),0)))</f>
      </c>
      <c r="G30" s="23">
        <f>IF(E30="","",E30+F30)</f>
      </c>
      <c r="H30" s="24">
        <f>IF(E30="","",ROUND(E30*(0.15*25*35+0.50*12*30+0.35*5*25)*(0.70*0.13+0.30*0.10)*4.33,2))</f>
      </c>
      <c r="I30" s="24">
        <f>IF(F30="","",ROUND(F30*(0.20*40*14+0.45*20*13+0.35*8*11)*(0.85*0.13+0.15*0.10)*4.33,2))</f>
      </c>
      <c r="J30" s="24">
        <f>IF(G30="","",ROUND(G30*(0.40*0+0.35*10+0.20*25+0.05*50),2))</f>
      </c>
      <c r="K30" s="25">
        <f>IF(G30="","",H30+I30+J30)</f>
      </c>
      <c r="L30" s="26">
        <f>IF(G30="","",(H30*0.65+I30*0.85+J30)*12)</f>
      </c>
    </row>
    <row r="31" spans="1:12" x14ac:dyDescent="0.25">
      <c r="A31" s="10">
        <f>'Market Input'!A6</f>
      </c>
      <c r="B31" s="10">
        <f>'Market Input'!D6</f>
      </c>
      <c r="C31" s="21">
        <f>'Scoring Engine'!M6</f>
      </c>
      <c r="D31" s="22">
        <f>'Scoring Engine'!M31</f>
      </c>
      <c r="E31" s="10">
        <f>IF('Market Input'!D6="","",MAX(0,ROUND(IF('Market Input'!L6="",'Market Input'!E6/20000,'Market Input'!L6*0.15)*0.05*MAX(0.5,C31/50),0)))</f>
      </c>
      <c r="F31" s="10">
        <f>IF('Market Input'!D6="","",MAX(0,ROUND(IF('Market Input'!K6="",'Market Input'!E6/5000,'Market Input'!K6)*0.03*MAX(0.5,D31/50),0)))</f>
      </c>
      <c r="G31" s="23">
        <f>IF(E31="","",E31+F31)</f>
      </c>
      <c r="H31" s="24">
        <f>IF(E31="","",ROUND(E31*(0.15*25*35+0.50*12*30+0.35*5*25)*(0.70*0.13+0.30*0.10)*4.33,2))</f>
      </c>
      <c r="I31" s="24">
        <f>IF(F31="","",ROUND(F31*(0.20*40*14+0.45*20*13+0.35*8*11)*(0.85*0.13+0.15*0.10)*4.33,2))</f>
      </c>
      <c r="J31" s="24">
        <f>IF(G31="","",ROUND(G31*(0.40*0+0.35*10+0.20*25+0.05*50),2))</f>
      </c>
      <c r="K31" s="25">
        <f>IF(G31="","",H31+I31+J31)</f>
      </c>
      <c r="L31" s="26">
        <f>IF(G31="","",(H31*0.65+I31*0.85+J31)*12)</f>
      </c>
    </row>
    <row r="32" spans="1:12" x14ac:dyDescent="0.25">
      <c r="A32" s="10">
        <f>'Market Input'!A7</f>
      </c>
      <c r="B32" s="10">
        <f>'Market Input'!D7</f>
      </c>
      <c r="C32" s="21">
        <f>'Scoring Engine'!M7</f>
      </c>
      <c r="D32" s="22">
        <f>'Scoring Engine'!M32</f>
      </c>
      <c r="E32" s="10">
        <f>IF('Market Input'!D7="","",MAX(0,ROUND(IF('Market Input'!L7="",'Market Input'!E7/20000,'Market Input'!L7*0.15)*0.05*MAX(0.5,C32/50),0)))</f>
      </c>
      <c r="F32" s="10">
        <f>IF('Market Input'!D7="","",MAX(0,ROUND(IF('Market Input'!K7="",'Market Input'!E7/5000,'Market Input'!K7)*0.03*MAX(0.5,D32/50),0)))</f>
      </c>
      <c r="G32" s="23">
        <f>IF(E32="","",E32+F32)</f>
      </c>
      <c r="H32" s="24">
        <f>IF(E32="","",ROUND(E32*(0.15*25*35+0.50*12*30+0.35*5*25)*(0.70*0.13+0.30*0.10)*4.33,2))</f>
      </c>
      <c r="I32" s="24">
        <f>IF(F32="","",ROUND(F32*(0.20*40*14+0.45*20*13+0.35*8*11)*(0.85*0.13+0.15*0.10)*4.33,2))</f>
      </c>
      <c r="J32" s="24">
        <f>IF(G32="","",ROUND(G32*(0.40*0+0.35*10+0.20*25+0.05*50),2))</f>
      </c>
      <c r="K32" s="25">
        <f>IF(G32="","",H32+I32+J32)</f>
      </c>
      <c r="L32" s="26">
        <f>IF(G32="","",(H32*0.65+I32*0.85+J32)*12)</f>
      </c>
    </row>
    <row r="33" spans="1:12" x14ac:dyDescent="0.25">
      <c r="A33" s="10">
        <f>'Market Input'!A8</f>
      </c>
      <c r="B33" s="10">
        <f>'Market Input'!D8</f>
      </c>
      <c r="C33" s="21">
        <f>'Scoring Engine'!M8</f>
      </c>
      <c r="D33" s="22">
        <f>'Scoring Engine'!M33</f>
      </c>
      <c r="E33" s="10">
        <f>IF('Market Input'!D8="","",MAX(0,ROUND(IF('Market Input'!L8="",'Market Input'!E8/20000,'Market Input'!L8*0.15)*0.05*MAX(0.5,C33/50),0)))</f>
      </c>
      <c r="F33" s="10">
        <f>IF('Market Input'!D8="","",MAX(0,ROUND(IF('Market Input'!K8="",'Market Input'!E8/5000,'Market Input'!K8)*0.03*MAX(0.5,D33/50),0)))</f>
      </c>
      <c r="G33" s="23">
        <f>IF(E33="","",E33+F33)</f>
      </c>
      <c r="H33" s="24">
        <f>IF(E33="","",ROUND(E33*(0.15*25*35+0.50*12*30+0.35*5*25)*(0.70*0.13+0.30*0.10)*4.33,2))</f>
      </c>
      <c r="I33" s="24">
        <f>IF(F33="","",ROUND(F33*(0.20*40*14+0.45*20*13+0.35*8*11)*(0.85*0.13+0.15*0.10)*4.33,2))</f>
      </c>
      <c r="J33" s="24">
        <f>IF(G33="","",ROUND(G33*(0.40*0+0.35*10+0.20*25+0.05*50),2))</f>
      </c>
      <c r="K33" s="25">
        <f>IF(G33="","",H33+I33+J33)</f>
      </c>
      <c r="L33" s="26">
        <f>IF(G33="","",(H33*0.65+I33*0.85+J33)*12)</f>
      </c>
    </row>
    <row r="34" spans="1:12" x14ac:dyDescent="0.25">
      <c r="A34" s="10">
        <f>'Market Input'!A9</f>
      </c>
      <c r="B34" s="10">
        <f>'Market Input'!D9</f>
      </c>
      <c r="C34" s="21">
        <f>'Scoring Engine'!M9</f>
      </c>
      <c r="D34" s="22">
        <f>'Scoring Engine'!M34</f>
      </c>
      <c r="E34" s="10">
        <f>IF('Market Input'!D9="","",MAX(0,ROUND(IF('Market Input'!L9="",'Market Input'!E9/20000,'Market Input'!L9*0.15)*0.05*MAX(0.5,C34/50),0)))</f>
      </c>
      <c r="F34" s="10">
        <f>IF('Market Input'!D9="","",MAX(0,ROUND(IF('Market Input'!K9="",'Market Input'!E9/5000,'Market Input'!K9)*0.03*MAX(0.5,D34/50),0)))</f>
      </c>
      <c r="G34" s="23">
        <f>IF(E34="","",E34+F34)</f>
      </c>
      <c r="H34" s="24">
        <f>IF(E34="","",ROUND(E34*(0.15*25*35+0.50*12*30+0.35*5*25)*(0.70*0.13+0.30*0.10)*4.33,2))</f>
      </c>
      <c r="I34" s="24">
        <f>IF(F34="","",ROUND(F34*(0.20*40*14+0.45*20*13+0.35*8*11)*(0.85*0.13+0.15*0.10)*4.33,2))</f>
      </c>
      <c r="J34" s="24">
        <f>IF(G34="","",ROUND(G34*(0.40*0+0.35*10+0.20*25+0.05*50),2))</f>
      </c>
      <c r="K34" s="25">
        <f>IF(G34="","",H34+I34+J34)</f>
      </c>
      <c r="L34" s="26">
        <f>IF(G34="","",(H34*0.65+I34*0.85+J34)*12)</f>
      </c>
    </row>
    <row r="35" spans="1:12" x14ac:dyDescent="0.25">
      <c r="A35" s="10">
        <f>'Market Input'!A10</f>
      </c>
      <c r="B35" s="10">
        <f>'Market Input'!D10</f>
      </c>
      <c r="C35" s="21">
        <f>'Scoring Engine'!M10</f>
      </c>
      <c r="D35" s="22">
        <f>'Scoring Engine'!M35</f>
      </c>
      <c r="E35" s="10">
        <f>IF('Market Input'!D10="","",MAX(0,ROUND(IF('Market Input'!L10="",'Market Input'!E10/20000,'Market Input'!L10*0.15)*0.05*MAX(0.5,C35/50),0)))</f>
      </c>
      <c r="F35" s="10">
        <f>IF('Market Input'!D10="","",MAX(0,ROUND(IF('Market Input'!K10="",'Market Input'!E10/5000,'Market Input'!K10)*0.03*MAX(0.5,D35/50),0)))</f>
      </c>
      <c r="G35" s="23">
        <f>IF(E35="","",E35+F35)</f>
      </c>
      <c r="H35" s="24">
        <f>IF(E35="","",ROUND(E35*(0.15*25*35+0.50*12*30+0.35*5*25)*(0.70*0.13+0.30*0.10)*4.33,2))</f>
      </c>
      <c r="I35" s="24">
        <f>IF(F35="","",ROUND(F35*(0.20*40*14+0.45*20*13+0.35*8*11)*(0.85*0.13+0.15*0.10)*4.33,2))</f>
      </c>
      <c r="J35" s="24">
        <f>IF(G35="","",ROUND(G35*(0.40*0+0.35*10+0.20*25+0.05*50),2))</f>
      </c>
      <c r="K35" s="25">
        <f>IF(G35="","",H35+I35+J35)</f>
      </c>
      <c r="L35" s="26">
        <f>IF(G35="","",(H35*0.65+I35*0.85+J35)*12)</f>
      </c>
    </row>
    <row r="36" spans="1:12" x14ac:dyDescent="0.25">
      <c r="A36" s="10">
        <f>'Market Input'!A11</f>
      </c>
      <c r="B36" s="10">
        <f>'Market Input'!D11</f>
      </c>
      <c r="C36" s="21">
        <f>'Scoring Engine'!M11</f>
      </c>
      <c r="D36" s="22">
        <f>'Scoring Engine'!M36</f>
      </c>
      <c r="E36" s="10">
        <f>IF('Market Input'!D11="","",MAX(0,ROUND(IF('Market Input'!L11="",'Market Input'!E11/20000,'Market Input'!L11*0.15)*0.05*MAX(0.5,C36/50),0)))</f>
      </c>
      <c r="F36" s="10">
        <f>IF('Market Input'!D11="","",MAX(0,ROUND(IF('Market Input'!K11="",'Market Input'!E11/5000,'Market Input'!K11)*0.03*MAX(0.5,D36/50),0)))</f>
      </c>
      <c r="G36" s="23">
        <f>IF(E36="","",E36+F36)</f>
      </c>
      <c r="H36" s="24">
        <f>IF(E36="","",ROUND(E36*(0.15*25*35+0.50*12*30+0.35*5*25)*(0.70*0.13+0.30*0.10)*4.33,2))</f>
      </c>
      <c r="I36" s="24">
        <f>IF(F36="","",ROUND(F36*(0.20*40*14+0.45*20*13+0.35*8*11)*(0.85*0.13+0.15*0.10)*4.33,2))</f>
      </c>
      <c r="J36" s="24">
        <f>IF(G36="","",ROUND(G36*(0.40*0+0.35*10+0.20*25+0.05*50),2))</f>
      </c>
      <c r="K36" s="25">
        <f>IF(G36="","",H36+I36+J36)</f>
      </c>
      <c r="L36" s="26">
        <f>IF(G36="","",(H36*0.65+I36*0.85+J36)*12)</f>
      </c>
    </row>
    <row r="37" spans="1:12" x14ac:dyDescent="0.25">
      <c r="A37" s="10">
        <f>'Market Input'!A12</f>
      </c>
      <c r="B37" s="10">
        <f>'Market Input'!D12</f>
      </c>
      <c r="C37" s="21">
        <f>'Scoring Engine'!M12</f>
      </c>
      <c r="D37" s="22">
        <f>'Scoring Engine'!M37</f>
      </c>
      <c r="E37" s="10">
        <f>IF('Market Input'!D12="","",MAX(0,ROUND(IF('Market Input'!L12="",'Market Input'!E12/20000,'Market Input'!L12*0.15)*0.05*MAX(0.5,C37/50),0)))</f>
      </c>
      <c r="F37" s="10">
        <f>IF('Market Input'!D12="","",MAX(0,ROUND(IF('Market Input'!K12="",'Market Input'!E12/5000,'Market Input'!K12)*0.03*MAX(0.5,D37/50),0)))</f>
      </c>
      <c r="G37" s="23">
        <f>IF(E37="","",E37+F37)</f>
      </c>
      <c r="H37" s="24">
        <f>IF(E37="","",ROUND(E37*(0.15*25*35+0.50*12*30+0.35*5*25)*(0.70*0.13+0.30*0.10)*4.33,2))</f>
      </c>
      <c r="I37" s="24">
        <f>IF(F37="","",ROUND(F37*(0.20*40*14+0.45*20*13+0.35*8*11)*(0.85*0.13+0.15*0.10)*4.33,2))</f>
      </c>
      <c r="J37" s="24">
        <f>IF(G37="","",ROUND(G37*(0.40*0+0.35*10+0.20*25+0.05*50),2))</f>
      </c>
      <c r="K37" s="25">
        <f>IF(G37="","",H37+I37+J37)</f>
      </c>
      <c r="L37" s="26">
        <f>IF(G37="","",(H37*0.65+I37*0.85+J37)*12)</f>
      </c>
    </row>
    <row r="38" spans="1:12" x14ac:dyDescent="0.25">
      <c r="A38" s="10">
        <f>'Market Input'!A13</f>
      </c>
      <c r="B38" s="10">
        <f>'Market Input'!D13</f>
      </c>
      <c r="C38" s="21">
        <f>'Scoring Engine'!M13</f>
      </c>
      <c r="D38" s="22">
        <f>'Scoring Engine'!M38</f>
      </c>
      <c r="E38" s="10">
        <f>IF('Market Input'!D13="","",MAX(0,ROUND(IF('Market Input'!L13="",'Market Input'!E13/20000,'Market Input'!L13*0.15)*0.05*MAX(0.5,C38/50),0)))</f>
      </c>
      <c r="F38" s="10">
        <f>IF('Market Input'!D13="","",MAX(0,ROUND(IF('Market Input'!K13="",'Market Input'!E13/5000,'Market Input'!K13)*0.03*MAX(0.5,D38/50),0)))</f>
      </c>
      <c r="G38" s="23">
        <f>IF(E38="","",E38+F38)</f>
      </c>
      <c r="H38" s="24">
        <f>IF(E38="","",ROUND(E38*(0.15*25*35+0.50*12*30+0.35*5*25)*(0.70*0.13+0.30*0.10)*4.33,2))</f>
      </c>
      <c r="I38" s="24">
        <f>IF(F38="","",ROUND(F38*(0.20*40*14+0.45*20*13+0.35*8*11)*(0.85*0.13+0.15*0.10)*4.33,2))</f>
      </c>
      <c r="J38" s="24">
        <f>IF(G38="","",ROUND(G38*(0.40*0+0.35*10+0.20*25+0.05*50),2))</f>
      </c>
      <c r="K38" s="25">
        <f>IF(G38="","",H38+I38+J38)</f>
      </c>
      <c r="L38" s="26">
        <f>IF(G38="","",(H38*0.65+I38*0.85+J38)*12)</f>
      </c>
    </row>
    <row r="39" spans="1:12" x14ac:dyDescent="0.25">
      <c r="A39" s="10">
        <f>'Market Input'!A14</f>
      </c>
      <c r="B39" s="10">
        <f>'Market Input'!D14</f>
      </c>
      <c r="C39" s="21">
        <f>'Scoring Engine'!M14</f>
      </c>
      <c r="D39" s="22">
        <f>'Scoring Engine'!M39</f>
      </c>
      <c r="E39" s="10">
        <f>IF('Market Input'!D14="","",MAX(0,ROUND(IF('Market Input'!L14="",'Market Input'!E14/20000,'Market Input'!L14*0.15)*0.05*MAX(0.5,C39/50),0)))</f>
      </c>
      <c r="F39" s="10">
        <f>IF('Market Input'!D14="","",MAX(0,ROUND(IF('Market Input'!K14="",'Market Input'!E14/5000,'Market Input'!K14)*0.03*MAX(0.5,D39/50),0)))</f>
      </c>
      <c r="G39" s="23">
        <f>IF(E39="","",E39+F39)</f>
      </c>
      <c r="H39" s="24">
        <f>IF(E39="","",ROUND(E39*(0.15*25*35+0.50*12*30+0.35*5*25)*(0.70*0.13+0.30*0.10)*4.33,2))</f>
      </c>
      <c r="I39" s="24">
        <f>IF(F39="","",ROUND(F39*(0.20*40*14+0.45*20*13+0.35*8*11)*(0.85*0.13+0.15*0.10)*4.33,2))</f>
      </c>
      <c r="J39" s="24">
        <f>IF(G39="","",ROUND(G39*(0.40*0+0.35*10+0.20*25+0.05*50),2))</f>
      </c>
      <c r="K39" s="25">
        <f>IF(G39="","",H39+I39+J39)</f>
      </c>
      <c r="L39" s="26">
        <f>IF(G39="","",(H39*0.65+I39*0.85+J39)*12)</f>
      </c>
    </row>
    <row r="40" spans="1:12" x14ac:dyDescent="0.25">
      <c r="A40" s="10">
        <f>'Market Input'!A15</f>
      </c>
      <c r="B40" s="10">
        <f>'Market Input'!D15</f>
      </c>
      <c r="C40" s="21">
        <f>'Scoring Engine'!M15</f>
      </c>
      <c r="D40" s="22">
        <f>'Scoring Engine'!M40</f>
      </c>
      <c r="E40" s="10">
        <f>IF('Market Input'!D15="","",MAX(0,ROUND(IF('Market Input'!L15="",'Market Input'!E15/20000,'Market Input'!L15*0.15)*0.05*MAX(0.5,C40/50),0)))</f>
      </c>
      <c r="F40" s="10">
        <f>IF('Market Input'!D15="","",MAX(0,ROUND(IF('Market Input'!K15="",'Market Input'!E15/5000,'Market Input'!K15)*0.03*MAX(0.5,D40/50),0)))</f>
      </c>
      <c r="G40" s="23">
        <f>IF(E40="","",E40+F40)</f>
      </c>
      <c r="H40" s="24">
        <f>IF(E40="","",ROUND(E40*(0.15*25*35+0.50*12*30+0.35*5*25)*(0.70*0.13+0.30*0.10)*4.33,2))</f>
      </c>
      <c r="I40" s="24">
        <f>IF(F40="","",ROUND(F40*(0.20*40*14+0.45*20*13+0.35*8*11)*(0.85*0.13+0.15*0.10)*4.33,2))</f>
      </c>
      <c r="J40" s="24">
        <f>IF(G40="","",ROUND(G40*(0.40*0+0.35*10+0.20*25+0.05*50),2))</f>
      </c>
      <c r="K40" s="25">
        <f>IF(G40="","",H40+I40+J40)</f>
      </c>
      <c r="L40" s="26">
        <f>IF(G40="","",(H40*0.65+I40*0.85+J40)*12)</f>
      </c>
    </row>
    <row r="41" spans="1:12" x14ac:dyDescent="0.25">
      <c r="A41" s="10">
        <f>'Market Input'!A16</f>
      </c>
      <c r="B41" s="10">
        <f>'Market Input'!D16</f>
      </c>
      <c r="C41" s="21">
        <f>'Scoring Engine'!M16</f>
      </c>
      <c r="D41" s="22">
        <f>'Scoring Engine'!M41</f>
      </c>
      <c r="E41" s="10">
        <f>IF('Market Input'!D16="","",MAX(0,ROUND(IF('Market Input'!L16="",'Market Input'!E16/20000,'Market Input'!L16*0.15)*0.05*MAX(0.5,C41/50),0)))</f>
      </c>
      <c r="F41" s="10">
        <f>IF('Market Input'!D16="","",MAX(0,ROUND(IF('Market Input'!K16="",'Market Input'!E16/5000,'Market Input'!K16)*0.03*MAX(0.5,D41/50),0)))</f>
      </c>
      <c r="G41" s="23">
        <f>IF(E41="","",E41+F41)</f>
      </c>
      <c r="H41" s="24">
        <f>IF(E41="","",ROUND(E41*(0.15*25*35+0.50*12*30+0.35*5*25)*(0.70*0.13+0.30*0.10)*4.33,2))</f>
      </c>
      <c r="I41" s="24">
        <f>IF(F41="","",ROUND(F41*(0.20*40*14+0.45*20*13+0.35*8*11)*(0.85*0.13+0.15*0.10)*4.33,2))</f>
      </c>
      <c r="J41" s="24">
        <f>IF(G41="","",ROUND(G41*(0.40*0+0.35*10+0.20*25+0.05*50),2))</f>
      </c>
      <c r="K41" s="25">
        <f>IF(G41="","",H41+I41+J41)</f>
      </c>
      <c r="L41" s="26">
        <f>IF(G41="","",(H41*0.65+I41*0.85+J41)*12)</f>
      </c>
    </row>
    <row r="42" spans="1:12" x14ac:dyDescent="0.25">
      <c r="A42" s="10">
        <f>'Market Input'!A17</f>
      </c>
      <c r="B42" s="10">
        <f>'Market Input'!D17</f>
      </c>
      <c r="C42" s="21">
        <f>'Scoring Engine'!M17</f>
      </c>
      <c r="D42" s="22">
        <f>'Scoring Engine'!M42</f>
      </c>
      <c r="E42" s="10">
        <f>IF('Market Input'!D17="","",MAX(0,ROUND(IF('Market Input'!L17="",'Market Input'!E17/20000,'Market Input'!L17*0.15)*0.05*MAX(0.5,C42/50),0)))</f>
      </c>
      <c r="F42" s="10">
        <f>IF('Market Input'!D17="","",MAX(0,ROUND(IF('Market Input'!K17="",'Market Input'!E17/5000,'Market Input'!K17)*0.03*MAX(0.5,D42/50),0)))</f>
      </c>
      <c r="G42" s="23">
        <f>IF(E42="","",E42+F42)</f>
      </c>
      <c r="H42" s="24">
        <f>IF(E42="","",ROUND(E42*(0.15*25*35+0.50*12*30+0.35*5*25)*(0.70*0.13+0.30*0.10)*4.33,2))</f>
      </c>
      <c r="I42" s="24">
        <f>IF(F42="","",ROUND(F42*(0.20*40*14+0.45*20*13+0.35*8*11)*(0.85*0.13+0.15*0.10)*4.33,2))</f>
      </c>
      <c r="J42" s="24">
        <f>IF(G42="","",ROUND(G42*(0.40*0+0.35*10+0.20*25+0.05*50),2))</f>
      </c>
      <c r="K42" s="25">
        <f>IF(G42="","",H42+I42+J42)</f>
      </c>
      <c r="L42" s="26">
        <f>IF(G42="","",(H42*0.65+I42*0.85+J42)*12)</f>
      </c>
    </row>
    <row r="43" spans="1:12" x14ac:dyDescent="0.25">
      <c r="A43" s="10">
        <f>'Market Input'!A18</f>
      </c>
      <c r="B43" s="10">
        <f>'Market Input'!D18</f>
      </c>
      <c r="C43" s="21">
        <f>'Scoring Engine'!M18</f>
      </c>
      <c r="D43" s="22">
        <f>'Scoring Engine'!M43</f>
      </c>
      <c r="E43" s="10">
        <f>IF('Market Input'!D18="","",MAX(0,ROUND(IF('Market Input'!L18="",'Market Input'!E18/20000,'Market Input'!L18*0.15)*0.05*MAX(0.5,C43/50),0)))</f>
      </c>
      <c r="F43" s="10">
        <f>IF('Market Input'!D18="","",MAX(0,ROUND(IF('Market Input'!K18="",'Market Input'!E18/5000,'Market Input'!K18)*0.03*MAX(0.5,D43/50),0)))</f>
      </c>
      <c r="G43" s="23">
        <f>IF(E43="","",E43+F43)</f>
      </c>
      <c r="H43" s="24">
        <f>IF(E43="","",ROUND(E43*(0.15*25*35+0.50*12*30+0.35*5*25)*(0.70*0.13+0.30*0.10)*4.33,2))</f>
      </c>
      <c r="I43" s="24">
        <f>IF(F43="","",ROUND(F43*(0.20*40*14+0.45*20*13+0.35*8*11)*(0.85*0.13+0.15*0.10)*4.33,2))</f>
      </c>
      <c r="J43" s="24">
        <f>IF(G43="","",ROUND(G43*(0.40*0+0.35*10+0.20*25+0.05*50),2))</f>
      </c>
      <c r="K43" s="25">
        <f>IF(G43="","",H43+I43+J43)</f>
      </c>
      <c r="L43" s="26">
        <f>IF(G43="","",(H43*0.65+I43*0.85+J43)*12)</f>
      </c>
    </row>
    <row r="44" spans="1:12" x14ac:dyDescent="0.25">
      <c r="A44" s="10">
        <f>'Market Input'!A19</f>
      </c>
      <c r="B44" s="10">
        <f>'Market Input'!D19</f>
      </c>
      <c r="C44" s="21">
        <f>'Scoring Engine'!M19</f>
      </c>
      <c r="D44" s="22">
        <f>'Scoring Engine'!M44</f>
      </c>
      <c r="E44" s="10">
        <f>IF('Market Input'!D19="","",MAX(0,ROUND(IF('Market Input'!L19="",'Market Input'!E19/20000,'Market Input'!L19*0.15)*0.05*MAX(0.5,C44/50),0)))</f>
      </c>
      <c r="F44" s="10">
        <f>IF('Market Input'!D19="","",MAX(0,ROUND(IF('Market Input'!K19="",'Market Input'!E19/5000,'Market Input'!K19)*0.03*MAX(0.5,D44/50),0)))</f>
      </c>
      <c r="G44" s="23">
        <f>IF(E44="","",E44+F44)</f>
      </c>
      <c r="H44" s="24">
        <f>IF(E44="","",ROUND(E44*(0.15*25*35+0.50*12*30+0.35*5*25)*(0.70*0.13+0.30*0.10)*4.33,2))</f>
      </c>
      <c r="I44" s="24">
        <f>IF(F44="","",ROUND(F44*(0.20*40*14+0.45*20*13+0.35*8*11)*(0.85*0.13+0.15*0.10)*4.33,2))</f>
      </c>
      <c r="J44" s="24">
        <f>IF(G44="","",ROUND(G44*(0.40*0+0.35*10+0.20*25+0.05*50),2))</f>
      </c>
      <c r="K44" s="25">
        <f>IF(G44="","",H44+I44+J44)</f>
      </c>
      <c r="L44" s="26">
        <f>IF(G44="","",(H44*0.65+I44*0.85+J44)*12)</f>
      </c>
    </row>
    <row r="45" spans="1:12" x14ac:dyDescent="0.25">
      <c r="A45" s="10">
        <f>'Market Input'!A20</f>
      </c>
      <c r="B45" s="10">
        <f>'Market Input'!D20</f>
      </c>
      <c r="C45" s="21">
        <f>'Scoring Engine'!M20</f>
      </c>
      <c r="D45" s="22">
        <f>'Scoring Engine'!M45</f>
      </c>
      <c r="E45" s="10">
        <f>IF('Market Input'!D20="","",MAX(0,ROUND(IF('Market Input'!L20="",'Market Input'!E20/20000,'Market Input'!L20*0.15)*0.05*MAX(0.5,C45/50),0)))</f>
      </c>
      <c r="F45" s="10">
        <f>IF('Market Input'!D20="","",MAX(0,ROUND(IF('Market Input'!K20="",'Market Input'!E20/5000,'Market Input'!K20)*0.03*MAX(0.5,D45/50),0)))</f>
      </c>
      <c r="G45" s="23">
        <f>IF(E45="","",E45+F45)</f>
      </c>
      <c r="H45" s="24">
        <f>IF(E45="","",ROUND(E45*(0.15*25*35+0.50*12*30+0.35*5*25)*(0.70*0.13+0.30*0.10)*4.33,2))</f>
      </c>
      <c r="I45" s="24">
        <f>IF(F45="","",ROUND(F45*(0.20*40*14+0.45*20*13+0.35*8*11)*(0.85*0.13+0.15*0.10)*4.33,2))</f>
      </c>
      <c r="J45" s="24">
        <f>IF(G45="","",ROUND(G45*(0.40*0+0.35*10+0.20*25+0.05*50),2))</f>
      </c>
      <c r="K45" s="25">
        <f>IF(G45="","",H45+I45+J45)</f>
      </c>
      <c r="L45" s="26">
        <f>IF(G45="","",(H45*0.65+I45*0.85+J45)*12)</f>
      </c>
    </row>
    <row r="46" spans="1:12" x14ac:dyDescent="0.25">
      <c r="A46" s="10">
        <f>'Market Input'!A21</f>
      </c>
      <c r="B46" s="10">
        <f>'Market Input'!D21</f>
      </c>
      <c r="C46" s="21">
        <f>'Scoring Engine'!M21</f>
      </c>
      <c r="D46" s="22">
        <f>'Scoring Engine'!M46</f>
      </c>
      <c r="E46" s="10">
        <f>IF('Market Input'!D21="","",MAX(0,ROUND(IF('Market Input'!L21="",'Market Input'!E21/20000,'Market Input'!L21*0.15)*0.05*MAX(0.5,C46/50),0)))</f>
      </c>
      <c r="F46" s="10">
        <f>IF('Market Input'!D21="","",MAX(0,ROUND(IF('Market Input'!K21="",'Market Input'!E21/5000,'Market Input'!K21)*0.03*MAX(0.5,D46/50),0)))</f>
      </c>
      <c r="G46" s="23">
        <f>IF(E46="","",E46+F46)</f>
      </c>
      <c r="H46" s="24">
        <f>IF(E46="","",ROUND(E46*(0.15*25*35+0.50*12*30+0.35*5*25)*(0.70*0.13+0.30*0.10)*4.33,2))</f>
      </c>
      <c r="I46" s="24">
        <f>IF(F46="","",ROUND(F46*(0.20*40*14+0.45*20*13+0.35*8*11)*(0.85*0.13+0.15*0.10)*4.33,2))</f>
      </c>
      <c r="J46" s="24">
        <f>IF(G46="","",ROUND(G46*(0.40*0+0.35*10+0.20*25+0.05*50),2))</f>
      </c>
      <c r="K46" s="25">
        <f>IF(G46="","",H46+I46+J46)</f>
      </c>
      <c r="L46" s="26">
        <f>IF(G46="","",(H46*0.65+I46*0.85+J46)*12)</f>
      </c>
    </row>
    <row r="47" spans="1:12" x14ac:dyDescent="0.25">
      <c r="A47" s="10">
        <f>'Market Input'!A22</f>
      </c>
      <c r="B47" s="10">
        <f>'Market Input'!D22</f>
      </c>
      <c r="C47" s="21">
        <f>'Scoring Engine'!M22</f>
      </c>
      <c r="D47" s="22">
        <f>'Scoring Engine'!M47</f>
      </c>
      <c r="E47" s="10">
        <f>IF('Market Input'!D22="","",MAX(0,ROUND(IF('Market Input'!L22="",'Market Input'!E22/20000,'Market Input'!L22*0.15)*0.05*MAX(0.5,C47/50),0)))</f>
      </c>
      <c r="F47" s="10">
        <f>IF('Market Input'!D22="","",MAX(0,ROUND(IF('Market Input'!K22="",'Market Input'!E22/5000,'Market Input'!K22)*0.03*MAX(0.5,D47/50),0)))</f>
      </c>
      <c r="G47" s="23">
        <f>IF(E47="","",E47+F47)</f>
      </c>
      <c r="H47" s="24">
        <f>IF(E47="","",ROUND(E47*(0.15*25*35+0.50*12*30+0.35*5*25)*(0.70*0.13+0.30*0.10)*4.33,2))</f>
      </c>
      <c r="I47" s="24">
        <f>IF(F47="","",ROUND(F47*(0.20*40*14+0.45*20*13+0.35*8*11)*(0.85*0.13+0.15*0.10)*4.33,2))</f>
      </c>
      <c r="J47" s="24">
        <f>IF(G47="","",ROUND(G47*(0.40*0+0.35*10+0.20*25+0.05*50),2))</f>
      </c>
      <c r="K47" s="25">
        <f>IF(G47="","",H47+I47+J47)</f>
      </c>
      <c r="L47" s="26">
        <f>IF(G47="","",(H47*0.65+I47*0.85+J47)*12)</f>
      </c>
    </row>
    <row r="48" spans="1:12" x14ac:dyDescent="0.25">
      <c r="A48" s="10">
        <f>'Market Input'!A23</f>
      </c>
      <c r="B48" s="10">
        <f>'Market Input'!D23</f>
      </c>
      <c r="C48" s="21">
        <f>'Scoring Engine'!M23</f>
      </c>
      <c r="D48" s="22">
        <f>'Scoring Engine'!M48</f>
      </c>
      <c r="E48" s="10">
        <f>IF('Market Input'!D23="","",MAX(0,ROUND(IF('Market Input'!L23="",'Market Input'!E23/20000,'Market Input'!L23*0.15)*0.05*MAX(0.5,C48/50),0)))</f>
      </c>
      <c r="F48" s="10">
        <f>IF('Market Input'!D23="","",MAX(0,ROUND(IF('Market Input'!K23="",'Market Input'!E23/5000,'Market Input'!K23)*0.03*MAX(0.5,D48/50),0)))</f>
      </c>
      <c r="G48" s="23">
        <f>IF(E48="","",E48+F48)</f>
      </c>
      <c r="H48" s="24">
        <f>IF(E48="","",ROUND(E48*(0.15*25*35+0.50*12*30+0.35*5*25)*(0.70*0.13+0.30*0.10)*4.33,2))</f>
      </c>
      <c r="I48" s="24">
        <f>IF(F48="","",ROUND(F48*(0.20*40*14+0.45*20*13+0.35*8*11)*(0.85*0.13+0.15*0.10)*4.33,2))</f>
      </c>
      <c r="J48" s="24">
        <f>IF(G48="","",ROUND(G48*(0.40*0+0.35*10+0.20*25+0.05*50),2))</f>
      </c>
      <c r="K48" s="25">
        <f>IF(G48="","",H48+I48+J48)</f>
      </c>
      <c r="L48" s="26">
        <f>IF(G48="","",(H48*0.65+I48*0.85+J48)*12)</f>
      </c>
    </row>
    <row r="49" spans="1:12" x14ac:dyDescent="0.25">
      <c r="A49" s="10">
        <f>'Market Input'!A24</f>
      </c>
      <c r="B49" s="10">
        <f>'Market Input'!D24</f>
      </c>
      <c r="C49" s="21">
        <f>'Scoring Engine'!M24</f>
      </c>
      <c r="D49" s="22">
        <f>'Scoring Engine'!M49</f>
      </c>
      <c r="E49" s="10">
        <f>IF('Market Input'!D24="","",MAX(0,ROUND(IF('Market Input'!L24="",'Market Input'!E24/20000,'Market Input'!L24*0.15)*0.05*MAX(0.5,C49/50),0)))</f>
      </c>
      <c r="F49" s="10">
        <f>IF('Market Input'!D24="","",MAX(0,ROUND(IF('Market Input'!K24="",'Market Input'!E24/5000,'Market Input'!K24)*0.03*MAX(0.5,D49/50),0)))</f>
      </c>
      <c r="G49" s="23">
        <f>IF(E49="","",E49+F49)</f>
      </c>
      <c r="H49" s="24">
        <f>IF(E49="","",ROUND(E49*(0.15*25*35+0.50*12*30+0.35*5*25)*(0.70*0.13+0.30*0.10)*4.33,2))</f>
      </c>
      <c r="I49" s="24">
        <f>IF(F49="","",ROUND(F49*(0.20*40*14+0.45*20*13+0.35*8*11)*(0.85*0.13+0.15*0.10)*4.33,2))</f>
      </c>
      <c r="J49" s="24">
        <f>IF(G49="","",ROUND(G49*(0.40*0+0.35*10+0.20*25+0.05*50),2))</f>
      </c>
      <c r="K49" s="25">
        <f>IF(G49="","",H49+I49+J49)</f>
      </c>
      <c r="L49" s="26">
        <f>IF(G49="","",(H49*0.65+I49*0.85+J49)*12)</f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H40"/>
  <sheetFormatPr defaultRowHeight="15" outlineLevelRow="0" outlineLevelCol="0" x14ac:dyDescent="55"/>
  <cols>
    <col min="1" max="1" width="5" customWidth="1"/>
    <col min="2" max="2" width="30" customWidth="1"/>
    <col min="3" max="3" width="14" customWidth="1"/>
    <col min="4" max="4" width="45" customWidth="1"/>
    <col min="5" max="5" width="14" customWidth="1"/>
    <col min="6" max="6" width="16" customWidth="1"/>
    <col min="7" max="7" width="14" customWidth="1"/>
    <col min="8" max="8" width="12" customWidth="1"/>
  </cols>
  <sheetData>
    <row r="1" spans="1:8" x14ac:dyDescent="0.25">
      <c r="A1" s="27" t="s">
        <v>164</v>
      </c>
      <c r="B1" s="27"/>
      <c r="C1" s="27"/>
      <c r="D1" s="27"/>
      <c r="E1" s="27"/>
      <c r="F1" s="27"/>
      <c r="G1" s="27"/>
      <c r="H1" s="27"/>
    </row>
    <row r="3" spans="1:1" x14ac:dyDescent="0.25">
      <c r="A3" s="28" t="s">
        <v>165</v>
      </c>
    </row>
    <row r="4" ht="25" customHeight="1" spans="1:4" x14ac:dyDescent="0.25">
      <c r="A4" s="29" t="s">
        <v>64</v>
      </c>
      <c r="B4" s="29" t="s">
        <v>166</v>
      </c>
      <c r="C4" s="29" t="s">
        <v>167</v>
      </c>
      <c r="D4" s="29" t="s">
        <v>168</v>
      </c>
    </row>
    <row r="5" spans="1:4" x14ac:dyDescent="0.25">
      <c r="A5" s="10" t="s">
        <v>69</v>
      </c>
      <c r="B5" s="10" t="s">
        <v>169</v>
      </c>
      <c r="C5" s="30" t="s">
        <v>64</v>
      </c>
      <c r="D5" s="10" t="s">
        <v>170</v>
      </c>
    </row>
    <row r="6" spans="1:4" x14ac:dyDescent="0.25">
      <c r="A6" s="10" t="s">
        <v>74</v>
      </c>
      <c r="B6" s="10" t="s">
        <v>171</v>
      </c>
      <c r="C6" s="30" t="s">
        <v>64</v>
      </c>
      <c r="D6" s="10" t="s">
        <v>172</v>
      </c>
    </row>
    <row r="7" spans="1:4" x14ac:dyDescent="0.25">
      <c r="A7" s="10" t="s">
        <v>79</v>
      </c>
      <c r="B7" s="10" t="s">
        <v>173</v>
      </c>
      <c r="C7" s="31" t="s">
        <v>64</v>
      </c>
      <c r="D7" s="10" t="s">
        <v>174</v>
      </c>
    </row>
    <row r="8" spans="1:4" x14ac:dyDescent="0.25">
      <c r="A8" s="10" t="s">
        <v>84</v>
      </c>
      <c r="B8" s="10" t="s">
        <v>175</v>
      </c>
      <c r="C8" s="32" t="s">
        <v>64</v>
      </c>
      <c r="D8" s="10" t="s">
        <v>176</v>
      </c>
    </row>
    <row r="9" spans="1:4" x14ac:dyDescent="0.25">
      <c r="A9" s="10" t="s">
        <v>88</v>
      </c>
      <c r="B9" s="10" t="s">
        <v>177</v>
      </c>
      <c r="C9" s="30" t="s">
        <v>64</v>
      </c>
      <c r="D9" s="10" t="s">
        <v>178</v>
      </c>
    </row>
    <row r="10" spans="1:4" x14ac:dyDescent="0.25">
      <c r="A10" s="10" t="s">
        <v>93</v>
      </c>
      <c r="B10" s="10" t="s">
        <v>179</v>
      </c>
      <c r="C10" s="30" t="s">
        <v>64</v>
      </c>
      <c r="D10" s="10" t="s">
        <v>180</v>
      </c>
    </row>
    <row r="13" spans="1:1" x14ac:dyDescent="0.25">
      <c r="A13" s="28" t="s">
        <v>181</v>
      </c>
    </row>
    <row r="14" spans="2:4" x14ac:dyDescent="0.25">
      <c r="B14" s="23" t="s">
        <v>182</v>
      </c>
      <c r="C14" s="33">
        <f>C5*4.33</f>
      </c>
      <c r="D14" s="34" t="s">
        <v>183</v>
      </c>
    </row>
    <row r="15" spans="2:4" x14ac:dyDescent="0.25">
      <c r="B15" s="23" t="s">
        <v>184</v>
      </c>
      <c r="C15" s="33">
        <f>C6*C8</f>
      </c>
      <c r="D15" s="34" t="s">
        <v>185</v>
      </c>
    </row>
    <row r="16" spans="2:4" x14ac:dyDescent="0.25">
      <c r="B16" s="23" t="s">
        <v>186</v>
      </c>
      <c r="C16" s="33" t="s">
        <v>64</v>
      </c>
      <c r="D16" s="34" t="s">
        <v>187</v>
      </c>
    </row>
    <row r="17" spans="2:4" x14ac:dyDescent="0.25">
      <c r="B17" s="23" t="s">
        <v>188</v>
      </c>
      <c r="C17" s="33">
        <f>C14+C15+C9+C10</f>
      </c>
      <c r="D17" s="34" t="s">
        <v>189</v>
      </c>
    </row>
    <row r="19" spans="1:1" x14ac:dyDescent="0.25">
      <c r="A19" s="28" t="s">
        <v>190</v>
      </c>
    </row>
    <row r="20" ht="25" customHeight="1" spans="1:8" x14ac:dyDescent="0.25">
      <c r="A20" s="35" t="s">
        <v>2</v>
      </c>
      <c r="B20" s="35" t="s">
        <v>42</v>
      </c>
      <c r="C20" s="35" t="s">
        <v>191</v>
      </c>
      <c r="D20" s="35" t="s">
        <v>192</v>
      </c>
      <c r="E20" s="35" t="s">
        <v>193</v>
      </c>
      <c r="F20" s="35" t="s">
        <v>194</v>
      </c>
      <c r="G20" s="35" t="s">
        <v>195</v>
      </c>
      <c r="H20" s="35" t="s">
        <v>196</v>
      </c>
    </row>
    <row r="21" spans="1:8" x14ac:dyDescent="0.25">
      <c r="A21" s="10">
        <f>'Market Input'!A5</f>
      </c>
      <c r="B21" s="10">
        <f>'Market Input'!D5</f>
      </c>
      <c r="C21" s="36">
        <f>'Revenue Projections'!K30</f>
      </c>
      <c r="D21" s="36">
        <f>IF('Market Input'!D5="","",C$17+C21*C$7/100)</f>
      </c>
      <c r="E21" s="36">
        <f>IF(C21="","",C21-D21)</f>
      </c>
      <c r="F21" s="37">
        <f>IF(C21="","",IF(E21&gt;0,"Profitable",IF(E21&gt;-200,"Near Break-Even","Not Profitable")))</f>
      </c>
      <c r="G21" s="37">
        <f>IF(OR(C21="",D21="",D21=0),"",ROUND((C21*12-D21*12)/(D21*12)*100,0)&amp;"%")</f>
      </c>
      <c r="H21" s="12">
        <f>IF(C21="","",IF(C21&gt;=D21,"PROFITABLE",IF(C21&gt;=D21*0.5,"INVEST","WAIT")))</f>
      </c>
    </row>
    <row r="22" spans="1:8" x14ac:dyDescent="0.25">
      <c r="A22" s="10">
        <f>'Market Input'!A6</f>
      </c>
      <c r="B22" s="10">
        <f>'Market Input'!D6</f>
      </c>
      <c r="C22" s="36">
        <f>'Revenue Projections'!K31</f>
      </c>
      <c r="D22" s="36">
        <f>IF('Market Input'!D6="","",C$17+C22*C$7/100)</f>
      </c>
      <c r="E22" s="36">
        <f>IF(C22="","",C22-D22)</f>
      </c>
      <c r="F22" s="37">
        <f>IF(C22="","",IF(E22&gt;0,"Profitable",IF(E22&gt;-200,"Near Break-Even","Not Profitable")))</f>
      </c>
      <c r="G22" s="37">
        <f>IF(OR(C22="",D22="",D22=0),"",ROUND((C22*12-D22*12)/(D22*12)*100,0)&amp;"%")</f>
      </c>
      <c r="H22" s="12">
        <f>IF(C22="","",IF(C22&gt;=D22,"PROFITABLE",IF(C22&gt;=D22*0.5,"INVEST","WAIT")))</f>
      </c>
    </row>
    <row r="23" spans="1:8" x14ac:dyDescent="0.25">
      <c r="A23" s="10">
        <f>'Market Input'!A7</f>
      </c>
      <c r="B23" s="10">
        <f>'Market Input'!D7</f>
      </c>
      <c r="C23" s="36">
        <f>'Revenue Projections'!K32</f>
      </c>
      <c r="D23" s="36">
        <f>IF('Market Input'!D7="","",C$17+C23*C$7/100)</f>
      </c>
      <c r="E23" s="36">
        <f>IF(C23="","",C23-D23)</f>
      </c>
      <c r="F23" s="37">
        <f>IF(C23="","",IF(E23&gt;0,"Profitable",IF(E23&gt;-200,"Near Break-Even","Not Profitable")))</f>
      </c>
      <c r="G23" s="37">
        <f>IF(OR(C23="",D23="",D23=0),"",ROUND((C23*12-D23*12)/(D23*12)*100,0)&amp;"%")</f>
      </c>
      <c r="H23" s="12">
        <f>IF(C23="","",IF(C23&gt;=D23,"PROFITABLE",IF(C23&gt;=D23*0.5,"INVEST","WAIT")))</f>
      </c>
    </row>
    <row r="24" spans="1:8" x14ac:dyDescent="0.25">
      <c r="A24" s="10">
        <f>'Market Input'!A8</f>
      </c>
      <c r="B24" s="10">
        <f>'Market Input'!D8</f>
      </c>
      <c r="C24" s="36">
        <f>'Revenue Projections'!K33</f>
      </c>
      <c r="D24" s="36">
        <f>IF('Market Input'!D8="","",C$17+C24*C$7/100)</f>
      </c>
      <c r="E24" s="36">
        <f>IF(C24="","",C24-D24)</f>
      </c>
      <c r="F24" s="37">
        <f>IF(C24="","",IF(E24&gt;0,"Profitable",IF(E24&gt;-200,"Near Break-Even","Not Profitable")))</f>
      </c>
      <c r="G24" s="37">
        <f>IF(OR(C24="",D24="",D24=0),"",ROUND((C24*12-D24*12)/(D24*12)*100,0)&amp;"%")</f>
      </c>
      <c r="H24" s="12">
        <f>IF(C24="","",IF(C24&gt;=D24,"PROFITABLE",IF(C24&gt;=D24*0.5,"INVEST","WAIT")))</f>
      </c>
    </row>
    <row r="25" spans="1:8" x14ac:dyDescent="0.25">
      <c r="A25" s="10">
        <f>'Market Input'!A9</f>
      </c>
      <c r="B25" s="10">
        <f>'Market Input'!D9</f>
      </c>
      <c r="C25" s="36">
        <f>'Revenue Projections'!K34</f>
      </c>
      <c r="D25" s="36">
        <f>IF('Market Input'!D9="","",C$17+C25*C$7/100)</f>
      </c>
      <c r="E25" s="36">
        <f>IF(C25="","",C25-D25)</f>
      </c>
      <c r="F25" s="37">
        <f>IF(C25="","",IF(E25&gt;0,"Profitable",IF(E25&gt;-200,"Near Break-Even","Not Profitable")))</f>
      </c>
      <c r="G25" s="37">
        <f>IF(OR(C25="",D25="",D25=0),"",ROUND((C25*12-D25*12)/(D25*12)*100,0)&amp;"%")</f>
      </c>
      <c r="H25" s="12">
        <f>IF(C25="","",IF(C25&gt;=D25,"PROFITABLE",IF(C25&gt;=D25*0.5,"INVEST","WAIT")))</f>
      </c>
    </row>
    <row r="26" spans="1:8" x14ac:dyDescent="0.25">
      <c r="A26" s="10">
        <f>'Market Input'!A10</f>
      </c>
      <c r="B26" s="10">
        <f>'Market Input'!D10</f>
      </c>
      <c r="C26" s="36">
        <f>'Revenue Projections'!K35</f>
      </c>
      <c r="D26" s="36">
        <f>IF('Market Input'!D10="","",C$17+C26*C$7/100)</f>
      </c>
      <c r="E26" s="36">
        <f>IF(C26="","",C26-D26)</f>
      </c>
      <c r="F26" s="37">
        <f>IF(C26="","",IF(E26&gt;0,"Profitable",IF(E26&gt;-200,"Near Break-Even","Not Profitable")))</f>
      </c>
      <c r="G26" s="37">
        <f>IF(OR(C26="",D26="",D26=0),"",ROUND((C26*12-D26*12)/(D26*12)*100,0)&amp;"%")</f>
      </c>
      <c r="H26" s="12">
        <f>IF(C26="","",IF(C26&gt;=D26,"PROFITABLE",IF(C26&gt;=D26*0.5,"INVEST","WAIT")))</f>
      </c>
    </row>
    <row r="27" spans="1:8" x14ac:dyDescent="0.25">
      <c r="A27" s="10">
        <f>'Market Input'!A11</f>
      </c>
      <c r="B27" s="10">
        <f>'Market Input'!D11</f>
      </c>
      <c r="C27" s="36">
        <f>'Revenue Projections'!K36</f>
      </c>
      <c r="D27" s="36">
        <f>IF('Market Input'!D11="","",C$17+C27*C$7/100)</f>
      </c>
      <c r="E27" s="36">
        <f>IF(C27="","",C27-D27)</f>
      </c>
      <c r="F27" s="37">
        <f>IF(C27="","",IF(E27&gt;0,"Profitable",IF(E27&gt;-200,"Near Break-Even","Not Profitable")))</f>
      </c>
      <c r="G27" s="37">
        <f>IF(OR(C27="",D27="",D27=0),"",ROUND((C27*12-D27*12)/(D27*12)*100,0)&amp;"%")</f>
      </c>
      <c r="H27" s="12">
        <f>IF(C27="","",IF(C27&gt;=D27,"PROFITABLE",IF(C27&gt;=D27*0.5,"INVEST","WAIT")))</f>
      </c>
    </row>
    <row r="28" spans="1:8" x14ac:dyDescent="0.25">
      <c r="A28" s="10">
        <f>'Market Input'!A12</f>
      </c>
      <c r="B28" s="10">
        <f>'Market Input'!D12</f>
      </c>
      <c r="C28" s="36">
        <f>'Revenue Projections'!K37</f>
      </c>
      <c r="D28" s="36">
        <f>IF('Market Input'!D12="","",C$17+C28*C$7/100)</f>
      </c>
      <c r="E28" s="36">
        <f>IF(C28="","",C28-D28)</f>
      </c>
      <c r="F28" s="37">
        <f>IF(C28="","",IF(E28&gt;0,"Profitable",IF(E28&gt;-200,"Near Break-Even","Not Profitable")))</f>
      </c>
      <c r="G28" s="37">
        <f>IF(OR(C28="",D28="",D28=0),"",ROUND((C28*12-D28*12)/(D28*12)*100,0)&amp;"%")</f>
      </c>
      <c r="H28" s="12">
        <f>IF(C28="","",IF(C28&gt;=D28,"PROFITABLE",IF(C28&gt;=D28*0.5,"INVEST","WAIT")))</f>
      </c>
    </row>
    <row r="29" spans="1:8" x14ac:dyDescent="0.25">
      <c r="A29" s="10">
        <f>'Market Input'!A13</f>
      </c>
      <c r="B29" s="10">
        <f>'Market Input'!D13</f>
      </c>
      <c r="C29" s="36">
        <f>'Revenue Projections'!K38</f>
      </c>
      <c r="D29" s="36">
        <f>IF('Market Input'!D13="","",C$17+C29*C$7/100)</f>
      </c>
      <c r="E29" s="36">
        <f>IF(C29="","",C29-D29)</f>
      </c>
      <c r="F29" s="37">
        <f>IF(C29="","",IF(E29&gt;0,"Profitable",IF(E29&gt;-200,"Near Break-Even","Not Profitable")))</f>
      </c>
      <c r="G29" s="37">
        <f>IF(OR(C29="",D29="",D29=0),"",ROUND((C29*12-D29*12)/(D29*12)*100,0)&amp;"%")</f>
      </c>
      <c r="H29" s="12">
        <f>IF(C29="","",IF(C29&gt;=D29,"PROFITABLE",IF(C29&gt;=D29*0.5,"INVEST","WAIT")))</f>
      </c>
    </row>
    <row r="30" spans="1:8" x14ac:dyDescent="0.25">
      <c r="A30" s="10">
        <f>'Market Input'!A14</f>
      </c>
      <c r="B30" s="10">
        <f>'Market Input'!D14</f>
      </c>
      <c r="C30" s="36">
        <f>'Revenue Projections'!K39</f>
      </c>
      <c r="D30" s="36">
        <f>IF('Market Input'!D14="","",C$17+C30*C$7/100)</f>
      </c>
      <c r="E30" s="36">
        <f>IF(C30="","",C30-D30)</f>
      </c>
      <c r="F30" s="37">
        <f>IF(C30="","",IF(E30&gt;0,"Profitable",IF(E30&gt;-200,"Near Break-Even","Not Profitable")))</f>
      </c>
      <c r="G30" s="37">
        <f>IF(OR(C30="",D30="",D30=0),"",ROUND((C30*12-D30*12)/(D30*12)*100,0)&amp;"%")</f>
      </c>
      <c r="H30" s="12">
        <f>IF(C30="","",IF(C30&gt;=D30,"PROFITABLE",IF(C30&gt;=D30*0.5,"INVEST","WAIT")))</f>
      </c>
    </row>
    <row r="31" spans="1:8" x14ac:dyDescent="0.25">
      <c r="A31" s="10">
        <f>'Market Input'!A15</f>
      </c>
      <c r="B31" s="10">
        <f>'Market Input'!D15</f>
      </c>
      <c r="C31" s="36">
        <f>'Revenue Projections'!K40</f>
      </c>
      <c r="D31" s="36">
        <f>IF('Market Input'!D15="","",C$17+C31*C$7/100)</f>
      </c>
      <c r="E31" s="36">
        <f>IF(C31="","",C31-D31)</f>
      </c>
      <c r="F31" s="37">
        <f>IF(C31="","",IF(E31&gt;0,"Profitable",IF(E31&gt;-200,"Near Break-Even","Not Profitable")))</f>
      </c>
      <c r="G31" s="37">
        <f>IF(OR(C31="",D31="",D31=0),"",ROUND((C31*12-D31*12)/(D31*12)*100,0)&amp;"%")</f>
      </c>
      <c r="H31" s="12">
        <f>IF(C31="","",IF(C31&gt;=D31,"PROFITABLE",IF(C31&gt;=D31*0.5,"INVEST","WAIT")))</f>
      </c>
    </row>
    <row r="32" spans="1:8" x14ac:dyDescent="0.25">
      <c r="A32" s="10">
        <f>'Market Input'!A16</f>
      </c>
      <c r="B32" s="10">
        <f>'Market Input'!D16</f>
      </c>
      <c r="C32" s="36">
        <f>'Revenue Projections'!K41</f>
      </c>
      <c r="D32" s="36">
        <f>IF('Market Input'!D16="","",C$17+C32*C$7/100)</f>
      </c>
      <c r="E32" s="36">
        <f>IF(C32="","",C32-D32)</f>
      </c>
      <c r="F32" s="37">
        <f>IF(C32="","",IF(E32&gt;0,"Profitable",IF(E32&gt;-200,"Near Break-Even","Not Profitable")))</f>
      </c>
      <c r="G32" s="37">
        <f>IF(OR(C32="",D32="",D32=0),"",ROUND((C32*12-D32*12)/(D32*12)*100,0)&amp;"%")</f>
      </c>
      <c r="H32" s="12">
        <f>IF(C32="","",IF(C32&gt;=D32,"PROFITABLE",IF(C32&gt;=D32*0.5,"INVEST","WAIT")))</f>
      </c>
    </row>
    <row r="33" spans="1:8" x14ac:dyDescent="0.25">
      <c r="A33" s="10">
        <f>'Market Input'!A17</f>
      </c>
      <c r="B33" s="10">
        <f>'Market Input'!D17</f>
      </c>
      <c r="C33" s="36">
        <f>'Revenue Projections'!K42</f>
      </c>
      <c r="D33" s="36">
        <f>IF('Market Input'!D17="","",C$17+C33*C$7/100)</f>
      </c>
      <c r="E33" s="36">
        <f>IF(C33="","",C33-D33)</f>
      </c>
      <c r="F33" s="37">
        <f>IF(C33="","",IF(E33&gt;0,"Profitable",IF(E33&gt;-200,"Near Break-Even","Not Profitable")))</f>
      </c>
      <c r="G33" s="37">
        <f>IF(OR(C33="",D33="",D33=0),"",ROUND((C33*12-D33*12)/(D33*12)*100,0)&amp;"%")</f>
      </c>
      <c r="H33" s="12">
        <f>IF(C33="","",IF(C33&gt;=D33,"PROFITABLE",IF(C33&gt;=D33*0.5,"INVEST","WAIT")))</f>
      </c>
    </row>
    <row r="34" spans="1:8" x14ac:dyDescent="0.25">
      <c r="A34" s="10">
        <f>'Market Input'!A18</f>
      </c>
      <c r="B34" s="10">
        <f>'Market Input'!D18</f>
      </c>
      <c r="C34" s="36">
        <f>'Revenue Projections'!K43</f>
      </c>
      <c r="D34" s="36">
        <f>IF('Market Input'!D18="","",C$17+C34*C$7/100)</f>
      </c>
      <c r="E34" s="36">
        <f>IF(C34="","",C34-D34)</f>
      </c>
      <c r="F34" s="37">
        <f>IF(C34="","",IF(E34&gt;0,"Profitable",IF(E34&gt;-200,"Near Break-Even","Not Profitable")))</f>
      </c>
      <c r="G34" s="37">
        <f>IF(OR(C34="",D34="",D34=0),"",ROUND((C34*12-D34*12)/(D34*12)*100,0)&amp;"%")</f>
      </c>
      <c r="H34" s="12">
        <f>IF(C34="","",IF(C34&gt;=D34,"PROFITABLE",IF(C34&gt;=D34*0.5,"INVEST","WAIT")))</f>
      </c>
    </row>
    <row r="35" spans="1:8" x14ac:dyDescent="0.25">
      <c r="A35" s="10">
        <f>'Market Input'!A19</f>
      </c>
      <c r="B35" s="10">
        <f>'Market Input'!D19</f>
      </c>
      <c r="C35" s="36">
        <f>'Revenue Projections'!K44</f>
      </c>
      <c r="D35" s="36">
        <f>IF('Market Input'!D19="","",C$17+C35*C$7/100)</f>
      </c>
      <c r="E35" s="36">
        <f>IF(C35="","",C35-D35)</f>
      </c>
      <c r="F35" s="37">
        <f>IF(C35="","",IF(E35&gt;0,"Profitable",IF(E35&gt;-200,"Near Break-Even","Not Profitable")))</f>
      </c>
      <c r="G35" s="37">
        <f>IF(OR(C35="",D35="",D35=0),"",ROUND((C35*12-D35*12)/(D35*12)*100,0)&amp;"%")</f>
      </c>
      <c r="H35" s="12">
        <f>IF(C35="","",IF(C35&gt;=D35,"PROFITABLE",IF(C35&gt;=D35*0.5,"INVEST","WAIT")))</f>
      </c>
    </row>
    <row r="36" spans="1:8" x14ac:dyDescent="0.25">
      <c r="A36" s="10">
        <f>'Market Input'!A20</f>
      </c>
      <c r="B36" s="10">
        <f>'Market Input'!D20</f>
      </c>
      <c r="C36" s="36">
        <f>'Revenue Projections'!K45</f>
      </c>
      <c r="D36" s="36">
        <f>IF('Market Input'!D20="","",C$17+C36*C$7/100)</f>
      </c>
      <c r="E36" s="36">
        <f>IF(C36="","",C36-D36)</f>
      </c>
      <c r="F36" s="37">
        <f>IF(C36="","",IF(E36&gt;0,"Profitable",IF(E36&gt;-200,"Near Break-Even","Not Profitable")))</f>
      </c>
      <c r="G36" s="37">
        <f>IF(OR(C36="",D36="",D36=0),"",ROUND((C36*12-D36*12)/(D36*12)*100,0)&amp;"%")</f>
      </c>
      <c r="H36" s="12">
        <f>IF(C36="","",IF(C36&gt;=D36,"PROFITABLE",IF(C36&gt;=D36*0.5,"INVEST","WAIT")))</f>
      </c>
    </row>
    <row r="37" spans="1:8" x14ac:dyDescent="0.25">
      <c r="A37" s="10">
        <f>'Market Input'!A21</f>
      </c>
      <c r="B37" s="10">
        <f>'Market Input'!D21</f>
      </c>
      <c r="C37" s="36">
        <f>'Revenue Projections'!K46</f>
      </c>
      <c r="D37" s="36">
        <f>IF('Market Input'!D21="","",C$17+C37*C$7/100)</f>
      </c>
      <c r="E37" s="36">
        <f>IF(C37="","",C37-D37)</f>
      </c>
      <c r="F37" s="37">
        <f>IF(C37="","",IF(E37&gt;0,"Profitable",IF(E37&gt;-200,"Near Break-Even","Not Profitable")))</f>
      </c>
      <c r="G37" s="37">
        <f>IF(OR(C37="",D37="",D37=0),"",ROUND((C37*12-D37*12)/(D37*12)*100,0)&amp;"%")</f>
      </c>
      <c r="H37" s="12">
        <f>IF(C37="","",IF(C37&gt;=D37,"PROFITABLE",IF(C37&gt;=D37*0.5,"INVEST","WAIT")))</f>
      </c>
    </row>
    <row r="38" spans="1:8" x14ac:dyDescent="0.25">
      <c r="A38" s="10">
        <f>'Market Input'!A22</f>
      </c>
      <c r="B38" s="10">
        <f>'Market Input'!D22</f>
      </c>
      <c r="C38" s="36">
        <f>'Revenue Projections'!K47</f>
      </c>
      <c r="D38" s="36">
        <f>IF('Market Input'!D22="","",C$17+C38*C$7/100)</f>
      </c>
      <c r="E38" s="36">
        <f>IF(C38="","",C38-D38)</f>
      </c>
      <c r="F38" s="37">
        <f>IF(C38="","",IF(E38&gt;0,"Profitable",IF(E38&gt;-200,"Near Break-Even","Not Profitable")))</f>
      </c>
      <c r="G38" s="37">
        <f>IF(OR(C38="",D38="",D38=0),"",ROUND((C38*12-D38*12)/(D38*12)*100,0)&amp;"%")</f>
      </c>
      <c r="H38" s="12">
        <f>IF(C38="","",IF(C38&gt;=D38,"PROFITABLE",IF(C38&gt;=D38*0.5,"INVEST","WAIT")))</f>
      </c>
    </row>
    <row r="39" spans="1:8" x14ac:dyDescent="0.25">
      <c r="A39" s="10">
        <f>'Market Input'!A23</f>
      </c>
      <c r="B39" s="10">
        <f>'Market Input'!D23</f>
      </c>
      <c r="C39" s="36">
        <f>'Revenue Projections'!K48</f>
      </c>
      <c r="D39" s="36">
        <f>IF('Market Input'!D23="","",C$17+C39*C$7/100)</f>
      </c>
      <c r="E39" s="36">
        <f>IF(C39="","",C39-D39)</f>
      </c>
      <c r="F39" s="37">
        <f>IF(C39="","",IF(E39&gt;0,"Profitable",IF(E39&gt;-200,"Near Break-Even","Not Profitable")))</f>
      </c>
      <c r="G39" s="37">
        <f>IF(OR(C39="",D39="",D39=0),"",ROUND((C39*12-D39*12)/(D39*12)*100,0)&amp;"%")</f>
      </c>
      <c r="H39" s="12">
        <f>IF(C39="","",IF(C39&gt;=D39,"PROFITABLE",IF(C39&gt;=D39*0.5,"INVEST","WAIT")))</f>
      </c>
    </row>
    <row r="40" spans="1:8" x14ac:dyDescent="0.25">
      <c r="A40" s="10">
        <f>'Market Input'!A24</f>
      </c>
      <c r="B40" s="10">
        <f>'Market Input'!D24</f>
      </c>
      <c r="C40" s="36">
        <f>'Revenue Projections'!K49</f>
      </c>
      <c r="D40" s="36">
        <f>IF('Market Input'!D24="","",C$17+C40*C$7/100)</f>
      </c>
      <c r="E40" s="36">
        <f>IF(C40="","",C40-D40)</f>
      </c>
      <c r="F40" s="37">
        <f>IF(C40="","",IF(E40&gt;0,"Profitable",IF(E40&gt;-200,"Near Break-Even","Not Profitable")))</f>
      </c>
      <c r="G40" s="37">
        <f>IF(OR(C40="",D40="",D40=0),"",ROUND((C40*12-D40*12)/(D40*12)*100,0)&amp;"%")</f>
      </c>
      <c r="H40" s="12">
        <f>IF(C40="","",IF(C40&gt;=D40,"PROFITABLE",IF(C40&gt;=D40*0.5,"INVEST","WAIT")))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K24"/>
  <sheetFormatPr defaultRowHeight="15" outlineLevelRow="0" outlineLevelCol="0" x14ac:dyDescent="55"/>
  <cols>
    <col min="1" max="1" width="10" customWidth="1"/>
    <col min="2" max="2" width="22" customWidth="1"/>
    <col min="3" max="3" width="16" customWidth="1"/>
    <col min="4" max="4" width="14" customWidth="1"/>
    <col min="5" max="6" width="10" customWidth="1"/>
    <col min="7" max="7" width="14" customWidth="1"/>
    <col min="8" max="8" width="12" customWidth="1"/>
    <col min="9" max="9" width="14" customWidth="1"/>
    <col min="10" max="11" width="12" customWidth="1"/>
  </cols>
  <sheetData>
    <row r="1" spans="1:11" x14ac:dyDescent="0.25">
      <c r="A1" s="38" t="s">
        <v>197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x14ac:dyDescent="0.25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39" t="s">
        <v>2</v>
      </c>
      <c r="B4" s="39" t="s">
        <v>42</v>
      </c>
      <c r="C4" s="39" t="s">
        <v>3</v>
      </c>
      <c r="D4" s="39" t="s">
        <v>6</v>
      </c>
      <c r="E4" s="39" t="s">
        <v>154</v>
      </c>
      <c r="F4" s="39" t="s">
        <v>155</v>
      </c>
      <c r="G4" s="39" t="s">
        <v>199</v>
      </c>
      <c r="H4" s="39" t="s">
        <v>200</v>
      </c>
      <c r="I4" s="39" t="s">
        <v>163</v>
      </c>
      <c r="J4" s="39" t="s">
        <v>201</v>
      </c>
      <c r="K4" s="39" t="s">
        <v>202</v>
      </c>
    </row>
    <row r="5" spans="1:11" x14ac:dyDescent="0.25">
      <c r="A5" s="10">
        <f>'Market Input'!A5</f>
      </c>
      <c r="B5" s="10">
        <f>'Market Input'!D5</f>
      </c>
      <c r="C5" s="10">
        <f>'Market Input'!B5</f>
      </c>
      <c r="D5" s="40">
        <f>'Market Input'!E5</f>
      </c>
      <c r="E5" s="21">
        <f>'Scoring Engine'!M5</f>
      </c>
      <c r="F5" s="22">
        <f>'Scoring Engine'!M30</f>
      </c>
      <c r="G5" s="41">
        <f>IF(OR(E5="",F5=""),"",ROUND(E5*0.5+F5*0.5,0))</f>
      </c>
      <c r="H5" s="10">
        <f>'Revenue Projections'!G30</f>
      </c>
      <c r="I5" s="36">
        <f>'Revenue Projections'!L30</f>
      </c>
      <c r="J5" s="37">
        <f>'Cost &amp; ROI'!G21</f>
      </c>
      <c r="K5" s="42">
        <f>IF(G5="","",IF(G5&gt;=60,"GO",IF(G5&gt;=40,"MAYBE","NO")))</f>
      </c>
    </row>
    <row r="6" spans="1:11" x14ac:dyDescent="0.25">
      <c r="A6" s="10">
        <f>'Market Input'!A6</f>
      </c>
      <c r="B6" s="10">
        <f>'Market Input'!D6</f>
      </c>
      <c r="C6" s="10">
        <f>'Market Input'!B6</f>
      </c>
      <c r="D6" s="40">
        <f>'Market Input'!E6</f>
      </c>
      <c r="E6" s="21">
        <f>'Scoring Engine'!M6</f>
      </c>
      <c r="F6" s="22">
        <f>'Scoring Engine'!M31</f>
      </c>
      <c r="G6" s="41">
        <f>IF(OR(E6="",F6=""),"",ROUND(E6*0.5+F6*0.5,0))</f>
      </c>
      <c r="H6" s="10">
        <f>'Revenue Projections'!G31</f>
      </c>
      <c r="I6" s="36">
        <f>'Revenue Projections'!L31</f>
      </c>
      <c r="J6" s="37">
        <f>'Cost &amp; ROI'!G22</f>
      </c>
      <c r="K6" s="42">
        <f>IF(G6="","",IF(G6&gt;=60,"GO",IF(G6&gt;=40,"MAYBE","NO")))</f>
      </c>
    </row>
    <row r="7" spans="1:11" x14ac:dyDescent="0.25">
      <c r="A7" s="10">
        <f>'Market Input'!A7</f>
      </c>
      <c r="B7" s="10">
        <f>'Market Input'!D7</f>
      </c>
      <c r="C7" s="10">
        <f>'Market Input'!B7</f>
      </c>
      <c r="D7" s="40">
        <f>'Market Input'!E7</f>
      </c>
      <c r="E7" s="21">
        <f>'Scoring Engine'!M7</f>
      </c>
      <c r="F7" s="22">
        <f>'Scoring Engine'!M32</f>
      </c>
      <c r="G7" s="41">
        <f>IF(OR(E7="",F7=""),"",ROUND(E7*0.5+F7*0.5,0))</f>
      </c>
      <c r="H7" s="10">
        <f>'Revenue Projections'!G32</f>
      </c>
      <c r="I7" s="36">
        <f>'Revenue Projections'!L32</f>
      </c>
      <c r="J7" s="37">
        <f>'Cost &amp; ROI'!G23</f>
      </c>
      <c r="K7" s="42">
        <f>IF(G7="","",IF(G7&gt;=60,"GO",IF(G7&gt;=40,"MAYBE","NO")))</f>
      </c>
    </row>
    <row r="8" spans="1:11" x14ac:dyDescent="0.25">
      <c r="A8" s="10">
        <f>'Market Input'!A8</f>
      </c>
      <c r="B8" s="10">
        <f>'Market Input'!D8</f>
      </c>
      <c r="C8" s="10">
        <f>'Market Input'!B8</f>
      </c>
      <c r="D8" s="40">
        <f>'Market Input'!E8</f>
      </c>
      <c r="E8" s="21">
        <f>'Scoring Engine'!M8</f>
      </c>
      <c r="F8" s="22">
        <f>'Scoring Engine'!M33</f>
      </c>
      <c r="G8" s="41">
        <f>IF(OR(E8="",F8=""),"",ROUND(E8*0.5+F8*0.5,0))</f>
      </c>
      <c r="H8" s="10">
        <f>'Revenue Projections'!G33</f>
      </c>
      <c r="I8" s="36">
        <f>'Revenue Projections'!L33</f>
      </c>
      <c r="J8" s="37">
        <f>'Cost &amp; ROI'!G24</f>
      </c>
      <c r="K8" s="42">
        <f>IF(G8="","",IF(G8&gt;=60,"GO",IF(G8&gt;=40,"MAYBE","NO")))</f>
      </c>
    </row>
    <row r="9" spans="1:11" x14ac:dyDescent="0.25">
      <c r="A9" s="10">
        <f>'Market Input'!A9</f>
      </c>
      <c r="B9" s="10">
        <f>'Market Input'!D9</f>
      </c>
      <c r="C9" s="10">
        <f>'Market Input'!B9</f>
      </c>
      <c r="D9" s="40">
        <f>'Market Input'!E9</f>
      </c>
      <c r="E9" s="21">
        <f>'Scoring Engine'!M9</f>
      </c>
      <c r="F9" s="22">
        <f>'Scoring Engine'!M34</f>
      </c>
      <c r="G9" s="41">
        <f>IF(OR(E9="",F9=""),"",ROUND(E9*0.5+F9*0.5,0))</f>
      </c>
      <c r="H9" s="10">
        <f>'Revenue Projections'!G34</f>
      </c>
      <c r="I9" s="36">
        <f>'Revenue Projections'!L34</f>
      </c>
      <c r="J9" s="37">
        <f>'Cost &amp; ROI'!G25</f>
      </c>
      <c r="K9" s="42">
        <f>IF(G9="","",IF(G9&gt;=60,"GO",IF(G9&gt;=40,"MAYBE","NO")))</f>
      </c>
    </row>
    <row r="10" spans="1:11" x14ac:dyDescent="0.25">
      <c r="A10" s="10">
        <f>'Market Input'!A10</f>
      </c>
      <c r="B10" s="10">
        <f>'Market Input'!D10</f>
      </c>
      <c r="C10" s="10">
        <f>'Market Input'!B10</f>
      </c>
      <c r="D10" s="40">
        <f>'Market Input'!E10</f>
      </c>
      <c r="E10" s="21">
        <f>'Scoring Engine'!M10</f>
      </c>
      <c r="F10" s="22">
        <f>'Scoring Engine'!M35</f>
      </c>
      <c r="G10" s="41">
        <f>IF(OR(E10="",F10=""),"",ROUND(E10*0.5+F10*0.5,0))</f>
      </c>
      <c r="H10" s="10">
        <f>'Revenue Projections'!G35</f>
      </c>
      <c r="I10" s="36">
        <f>'Revenue Projections'!L35</f>
      </c>
      <c r="J10" s="37">
        <f>'Cost &amp; ROI'!G26</f>
      </c>
      <c r="K10" s="42">
        <f>IF(G10="","",IF(G10&gt;=60,"GO",IF(G10&gt;=40,"MAYBE","NO")))</f>
      </c>
    </row>
    <row r="11" spans="1:11" x14ac:dyDescent="0.25">
      <c r="A11" s="10">
        <f>'Market Input'!A11</f>
      </c>
      <c r="B11" s="10">
        <f>'Market Input'!D11</f>
      </c>
      <c r="C11" s="10">
        <f>'Market Input'!B11</f>
      </c>
      <c r="D11" s="40">
        <f>'Market Input'!E11</f>
      </c>
      <c r="E11" s="21">
        <f>'Scoring Engine'!M11</f>
      </c>
      <c r="F11" s="22">
        <f>'Scoring Engine'!M36</f>
      </c>
      <c r="G11" s="41">
        <f>IF(OR(E11="",F11=""),"",ROUND(E11*0.5+F11*0.5,0))</f>
      </c>
      <c r="H11" s="10">
        <f>'Revenue Projections'!G36</f>
      </c>
      <c r="I11" s="36">
        <f>'Revenue Projections'!L36</f>
      </c>
      <c r="J11" s="37">
        <f>'Cost &amp; ROI'!G27</f>
      </c>
      <c r="K11" s="42">
        <f>IF(G11="","",IF(G11&gt;=60,"GO",IF(G11&gt;=40,"MAYBE","NO")))</f>
      </c>
    </row>
    <row r="12" spans="1:11" x14ac:dyDescent="0.25">
      <c r="A12" s="10">
        <f>'Market Input'!A12</f>
      </c>
      <c r="B12" s="10">
        <f>'Market Input'!D12</f>
      </c>
      <c r="C12" s="10">
        <f>'Market Input'!B12</f>
      </c>
      <c r="D12" s="40">
        <f>'Market Input'!E12</f>
      </c>
      <c r="E12" s="21">
        <f>'Scoring Engine'!M12</f>
      </c>
      <c r="F12" s="22">
        <f>'Scoring Engine'!M37</f>
      </c>
      <c r="G12" s="41">
        <f>IF(OR(E12="",F12=""),"",ROUND(E12*0.5+F12*0.5,0))</f>
      </c>
      <c r="H12" s="10">
        <f>'Revenue Projections'!G37</f>
      </c>
      <c r="I12" s="36">
        <f>'Revenue Projections'!L37</f>
      </c>
      <c r="J12" s="37">
        <f>'Cost &amp; ROI'!G28</f>
      </c>
      <c r="K12" s="42">
        <f>IF(G12="","",IF(G12&gt;=60,"GO",IF(G12&gt;=40,"MAYBE","NO")))</f>
      </c>
    </row>
    <row r="13" spans="1:11" x14ac:dyDescent="0.25">
      <c r="A13" s="10">
        <f>'Market Input'!A13</f>
      </c>
      <c r="B13" s="10">
        <f>'Market Input'!D13</f>
      </c>
      <c r="C13" s="10">
        <f>'Market Input'!B13</f>
      </c>
      <c r="D13" s="40">
        <f>'Market Input'!E13</f>
      </c>
      <c r="E13" s="21">
        <f>'Scoring Engine'!M13</f>
      </c>
      <c r="F13" s="22">
        <f>'Scoring Engine'!M38</f>
      </c>
      <c r="G13" s="41">
        <f>IF(OR(E13="",F13=""),"",ROUND(E13*0.5+F13*0.5,0))</f>
      </c>
      <c r="H13" s="10">
        <f>'Revenue Projections'!G38</f>
      </c>
      <c r="I13" s="36">
        <f>'Revenue Projections'!L38</f>
      </c>
      <c r="J13" s="37">
        <f>'Cost &amp; ROI'!G29</f>
      </c>
      <c r="K13" s="42">
        <f>IF(G13="","",IF(G13&gt;=60,"GO",IF(G13&gt;=40,"MAYBE","NO")))</f>
      </c>
    </row>
    <row r="14" spans="1:11" x14ac:dyDescent="0.25">
      <c r="A14" s="10">
        <f>'Market Input'!A14</f>
      </c>
      <c r="B14" s="10">
        <f>'Market Input'!D14</f>
      </c>
      <c r="C14" s="10">
        <f>'Market Input'!B14</f>
      </c>
      <c r="D14" s="40">
        <f>'Market Input'!E14</f>
      </c>
      <c r="E14" s="21">
        <f>'Scoring Engine'!M14</f>
      </c>
      <c r="F14" s="22">
        <f>'Scoring Engine'!M39</f>
      </c>
      <c r="G14" s="41">
        <f>IF(OR(E14="",F14=""),"",ROUND(E14*0.5+F14*0.5,0))</f>
      </c>
      <c r="H14" s="10">
        <f>'Revenue Projections'!G39</f>
      </c>
      <c r="I14" s="36">
        <f>'Revenue Projections'!L39</f>
      </c>
      <c r="J14" s="37">
        <f>'Cost &amp; ROI'!G30</f>
      </c>
      <c r="K14" s="42">
        <f>IF(G14="","",IF(G14&gt;=60,"GO",IF(G14&gt;=40,"MAYBE","NO")))</f>
      </c>
    </row>
    <row r="15" spans="1:11" x14ac:dyDescent="0.25">
      <c r="A15" s="10">
        <f>'Market Input'!A15</f>
      </c>
      <c r="B15" s="10">
        <f>'Market Input'!D15</f>
      </c>
      <c r="C15" s="10">
        <f>'Market Input'!B15</f>
      </c>
      <c r="D15" s="40">
        <f>'Market Input'!E15</f>
      </c>
      <c r="E15" s="21">
        <f>'Scoring Engine'!M15</f>
      </c>
      <c r="F15" s="22">
        <f>'Scoring Engine'!M40</f>
      </c>
      <c r="G15" s="41">
        <f>IF(OR(E15="",F15=""),"",ROUND(E15*0.5+F15*0.5,0))</f>
      </c>
      <c r="H15" s="10">
        <f>'Revenue Projections'!G40</f>
      </c>
      <c r="I15" s="36">
        <f>'Revenue Projections'!L40</f>
      </c>
      <c r="J15" s="37">
        <f>'Cost &amp; ROI'!G31</f>
      </c>
      <c r="K15" s="42">
        <f>IF(G15="","",IF(G15&gt;=60,"GO",IF(G15&gt;=40,"MAYBE","NO")))</f>
      </c>
    </row>
    <row r="16" spans="1:11" x14ac:dyDescent="0.25">
      <c r="A16" s="10">
        <f>'Market Input'!A16</f>
      </c>
      <c r="B16" s="10">
        <f>'Market Input'!D16</f>
      </c>
      <c r="C16" s="10">
        <f>'Market Input'!B16</f>
      </c>
      <c r="D16" s="40">
        <f>'Market Input'!E16</f>
      </c>
      <c r="E16" s="21">
        <f>'Scoring Engine'!M16</f>
      </c>
      <c r="F16" s="22">
        <f>'Scoring Engine'!M41</f>
      </c>
      <c r="G16" s="41">
        <f>IF(OR(E16="",F16=""),"",ROUND(E16*0.5+F16*0.5,0))</f>
      </c>
      <c r="H16" s="10">
        <f>'Revenue Projections'!G41</f>
      </c>
      <c r="I16" s="36">
        <f>'Revenue Projections'!L41</f>
      </c>
      <c r="J16" s="37">
        <f>'Cost &amp; ROI'!G32</f>
      </c>
      <c r="K16" s="42">
        <f>IF(G16="","",IF(G16&gt;=60,"GO",IF(G16&gt;=40,"MAYBE","NO")))</f>
      </c>
    </row>
    <row r="17" spans="1:11" x14ac:dyDescent="0.25">
      <c r="A17" s="10">
        <f>'Market Input'!A17</f>
      </c>
      <c r="B17" s="10">
        <f>'Market Input'!D17</f>
      </c>
      <c r="C17" s="10">
        <f>'Market Input'!B17</f>
      </c>
      <c r="D17" s="40">
        <f>'Market Input'!E17</f>
      </c>
      <c r="E17" s="21">
        <f>'Scoring Engine'!M17</f>
      </c>
      <c r="F17" s="22">
        <f>'Scoring Engine'!M42</f>
      </c>
      <c r="G17" s="41">
        <f>IF(OR(E17="",F17=""),"",ROUND(E17*0.5+F17*0.5,0))</f>
      </c>
      <c r="H17" s="10">
        <f>'Revenue Projections'!G42</f>
      </c>
      <c r="I17" s="36">
        <f>'Revenue Projections'!L42</f>
      </c>
      <c r="J17" s="37">
        <f>'Cost &amp; ROI'!G33</f>
      </c>
      <c r="K17" s="42">
        <f>IF(G17="","",IF(G17&gt;=60,"GO",IF(G17&gt;=40,"MAYBE","NO")))</f>
      </c>
    </row>
    <row r="18" spans="1:11" x14ac:dyDescent="0.25">
      <c r="A18" s="10">
        <f>'Market Input'!A18</f>
      </c>
      <c r="B18" s="10">
        <f>'Market Input'!D18</f>
      </c>
      <c r="C18" s="10">
        <f>'Market Input'!B18</f>
      </c>
      <c r="D18" s="40">
        <f>'Market Input'!E18</f>
      </c>
      <c r="E18" s="21">
        <f>'Scoring Engine'!M18</f>
      </c>
      <c r="F18" s="22">
        <f>'Scoring Engine'!M43</f>
      </c>
      <c r="G18" s="41">
        <f>IF(OR(E18="",F18=""),"",ROUND(E18*0.5+F18*0.5,0))</f>
      </c>
      <c r="H18" s="10">
        <f>'Revenue Projections'!G43</f>
      </c>
      <c r="I18" s="36">
        <f>'Revenue Projections'!L43</f>
      </c>
      <c r="J18" s="37">
        <f>'Cost &amp; ROI'!G34</f>
      </c>
      <c r="K18" s="42">
        <f>IF(G18="","",IF(G18&gt;=60,"GO",IF(G18&gt;=40,"MAYBE","NO")))</f>
      </c>
    </row>
    <row r="19" spans="1:11" x14ac:dyDescent="0.25">
      <c r="A19" s="10">
        <f>'Market Input'!A19</f>
      </c>
      <c r="B19" s="10">
        <f>'Market Input'!D19</f>
      </c>
      <c r="C19" s="10">
        <f>'Market Input'!B19</f>
      </c>
      <c r="D19" s="40">
        <f>'Market Input'!E19</f>
      </c>
      <c r="E19" s="21">
        <f>'Scoring Engine'!M19</f>
      </c>
      <c r="F19" s="22">
        <f>'Scoring Engine'!M44</f>
      </c>
      <c r="G19" s="41">
        <f>IF(OR(E19="",F19=""),"",ROUND(E19*0.5+F19*0.5,0))</f>
      </c>
      <c r="H19" s="10">
        <f>'Revenue Projections'!G44</f>
      </c>
      <c r="I19" s="36">
        <f>'Revenue Projections'!L44</f>
      </c>
      <c r="J19" s="37">
        <f>'Cost &amp; ROI'!G35</f>
      </c>
      <c r="K19" s="42">
        <f>IF(G19="","",IF(G19&gt;=60,"GO",IF(G19&gt;=40,"MAYBE","NO")))</f>
      </c>
    </row>
    <row r="20" spans="1:11" x14ac:dyDescent="0.25">
      <c r="A20" s="10">
        <f>'Market Input'!A20</f>
      </c>
      <c r="B20" s="10">
        <f>'Market Input'!D20</f>
      </c>
      <c r="C20" s="10">
        <f>'Market Input'!B20</f>
      </c>
      <c r="D20" s="40">
        <f>'Market Input'!E20</f>
      </c>
      <c r="E20" s="21">
        <f>'Scoring Engine'!M20</f>
      </c>
      <c r="F20" s="22">
        <f>'Scoring Engine'!M45</f>
      </c>
      <c r="G20" s="41">
        <f>IF(OR(E20="",F20=""),"",ROUND(E20*0.5+F20*0.5,0))</f>
      </c>
      <c r="H20" s="10">
        <f>'Revenue Projections'!G45</f>
      </c>
      <c r="I20" s="36">
        <f>'Revenue Projections'!L45</f>
      </c>
      <c r="J20" s="37">
        <f>'Cost &amp; ROI'!G36</f>
      </c>
      <c r="K20" s="42">
        <f>IF(G20="","",IF(G20&gt;=60,"GO",IF(G20&gt;=40,"MAYBE","NO")))</f>
      </c>
    </row>
    <row r="21" spans="1:11" x14ac:dyDescent="0.25">
      <c r="A21" s="10">
        <f>'Market Input'!A21</f>
      </c>
      <c r="B21" s="10">
        <f>'Market Input'!D21</f>
      </c>
      <c r="C21" s="10">
        <f>'Market Input'!B21</f>
      </c>
      <c r="D21" s="40">
        <f>'Market Input'!E21</f>
      </c>
      <c r="E21" s="21">
        <f>'Scoring Engine'!M21</f>
      </c>
      <c r="F21" s="22">
        <f>'Scoring Engine'!M46</f>
      </c>
      <c r="G21" s="41">
        <f>IF(OR(E21="",F21=""),"",ROUND(E21*0.5+F21*0.5,0))</f>
      </c>
      <c r="H21" s="10">
        <f>'Revenue Projections'!G46</f>
      </c>
      <c r="I21" s="36">
        <f>'Revenue Projections'!L46</f>
      </c>
      <c r="J21" s="37">
        <f>'Cost &amp; ROI'!G37</f>
      </c>
      <c r="K21" s="42">
        <f>IF(G21="","",IF(G21&gt;=60,"GO",IF(G21&gt;=40,"MAYBE","NO")))</f>
      </c>
    </row>
    <row r="22" spans="1:11" x14ac:dyDescent="0.25">
      <c r="A22" s="10">
        <f>'Market Input'!A22</f>
      </c>
      <c r="B22" s="10">
        <f>'Market Input'!D22</f>
      </c>
      <c r="C22" s="10">
        <f>'Market Input'!B22</f>
      </c>
      <c r="D22" s="40">
        <f>'Market Input'!E22</f>
      </c>
      <c r="E22" s="21">
        <f>'Scoring Engine'!M22</f>
      </c>
      <c r="F22" s="22">
        <f>'Scoring Engine'!M47</f>
      </c>
      <c r="G22" s="41">
        <f>IF(OR(E22="",F22=""),"",ROUND(E22*0.5+F22*0.5,0))</f>
      </c>
      <c r="H22" s="10">
        <f>'Revenue Projections'!G47</f>
      </c>
      <c r="I22" s="36">
        <f>'Revenue Projections'!L47</f>
      </c>
      <c r="J22" s="37">
        <f>'Cost &amp; ROI'!G38</f>
      </c>
      <c r="K22" s="42">
        <f>IF(G22="","",IF(G22&gt;=60,"GO",IF(G22&gt;=40,"MAYBE","NO")))</f>
      </c>
    </row>
    <row r="23" spans="1:11" x14ac:dyDescent="0.25">
      <c r="A23" s="10">
        <f>'Market Input'!A23</f>
      </c>
      <c r="B23" s="10">
        <f>'Market Input'!D23</f>
      </c>
      <c r="C23" s="10">
        <f>'Market Input'!B23</f>
      </c>
      <c r="D23" s="40">
        <f>'Market Input'!E23</f>
      </c>
      <c r="E23" s="21">
        <f>'Scoring Engine'!M23</f>
      </c>
      <c r="F23" s="22">
        <f>'Scoring Engine'!M48</f>
      </c>
      <c r="G23" s="41">
        <f>IF(OR(E23="",F23=""),"",ROUND(E23*0.5+F23*0.5,0))</f>
      </c>
      <c r="H23" s="10">
        <f>'Revenue Projections'!G48</f>
      </c>
      <c r="I23" s="36">
        <f>'Revenue Projections'!L48</f>
      </c>
      <c r="J23" s="37">
        <f>'Cost &amp; ROI'!G39</f>
      </c>
      <c r="K23" s="42">
        <f>IF(G23="","",IF(G23&gt;=60,"GO",IF(G23&gt;=40,"MAYBE","NO")))</f>
      </c>
    </row>
    <row r="24" spans="1:11" x14ac:dyDescent="0.25">
      <c r="A24" s="10">
        <f>'Market Input'!A24</f>
      </c>
      <c r="B24" s="10">
        <f>'Market Input'!D24</f>
      </c>
      <c r="C24" s="10">
        <f>'Market Input'!B24</f>
      </c>
      <c r="D24" s="40">
        <f>'Market Input'!E24</f>
      </c>
      <c r="E24" s="21">
        <f>'Scoring Engine'!M24</f>
      </c>
      <c r="F24" s="22">
        <f>'Scoring Engine'!M49</f>
      </c>
      <c r="G24" s="41">
        <f>IF(OR(E24="",F24=""),"",ROUND(E24*0.5+F24*0.5,0))</f>
      </c>
      <c r="H24" s="10">
        <f>'Revenue Projections'!G49</f>
      </c>
      <c r="I24" s="36">
        <f>'Revenue Projections'!L49</f>
      </c>
      <c r="J24" s="37">
        <f>'Cost &amp; ROI'!G40</f>
      </c>
      <c r="K24" s="42">
        <f>IF(G24="","",IF(G24&gt;=60,"GO",IF(G24&gt;=40,"MAYBE","NO")))</f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6E7A"/>
  </sheetPr>
  <dimension ref="A1:F58"/>
  <sheetFormatPr defaultRowHeight="15" outlineLevelRow="0" outlineLevelCol="0" x14ac:dyDescent="55"/>
  <cols>
    <col min="1" max="1" width="30" customWidth="1"/>
    <col min="2" max="2" width="16" customWidth="1"/>
    <col min="3" max="3" width="65" customWidth="1"/>
    <col min="4" max="4" width="55" customWidth="1"/>
  </cols>
  <sheetData>
    <row r="1" spans="1:6" x14ac:dyDescent="0.25">
      <c r="A1" s="43" t="s">
        <v>203</v>
      </c>
      <c r="B1" s="43"/>
      <c r="C1" s="43"/>
      <c r="D1" s="43"/>
      <c r="E1" s="43"/>
      <c r="F1" s="43"/>
    </row>
    <row r="3" spans="1:1" x14ac:dyDescent="0.25">
      <c r="A3" s="44" t="s">
        <v>204</v>
      </c>
    </row>
    <row r="4" spans="1:4" x14ac:dyDescent="0.25">
      <c r="A4" s="45" t="s">
        <v>205</v>
      </c>
      <c r="B4" s="45" t="s">
        <v>66</v>
      </c>
      <c r="C4" s="45" t="s">
        <v>67</v>
      </c>
      <c r="D4" s="45" t="s">
        <v>206</v>
      </c>
    </row>
    <row r="5" spans="1:4" x14ac:dyDescent="0.25">
      <c r="A5" s="10" t="s">
        <v>207</v>
      </c>
      <c r="B5" s="10" t="s">
        <v>208</v>
      </c>
      <c r="C5" s="10" t="s">
        <v>209</v>
      </c>
      <c r="D5" s="10" t="s">
        <v>78</v>
      </c>
    </row>
    <row r="6" spans="1:4" x14ac:dyDescent="0.25">
      <c r="A6" s="10" t="s">
        <v>210</v>
      </c>
      <c r="B6" s="10" t="s">
        <v>211</v>
      </c>
      <c r="C6" s="10" t="s">
        <v>64</v>
      </c>
      <c r="D6" s="10" t="s">
        <v>212</v>
      </c>
    </row>
    <row r="7" spans="1:4" x14ac:dyDescent="0.25">
      <c r="A7" s="10" t="s">
        <v>213</v>
      </c>
      <c r="B7" s="10" t="s">
        <v>214</v>
      </c>
      <c r="C7" s="10" t="s">
        <v>64</v>
      </c>
      <c r="D7" s="10" t="s">
        <v>212</v>
      </c>
    </row>
    <row r="8" spans="1:4" x14ac:dyDescent="0.25">
      <c r="A8" s="10" t="s">
        <v>215</v>
      </c>
      <c r="B8" s="10" t="s">
        <v>64</v>
      </c>
      <c r="C8" s="10" t="s">
        <v>216</v>
      </c>
      <c r="D8" s="10" t="s">
        <v>217</v>
      </c>
    </row>
    <row r="9" spans="1:4" x14ac:dyDescent="0.25">
      <c r="A9" s="10" t="s">
        <v>218</v>
      </c>
      <c r="B9" s="10" t="s">
        <v>219</v>
      </c>
      <c r="C9" s="10" t="s">
        <v>220</v>
      </c>
      <c r="D9" s="10" t="s">
        <v>221</v>
      </c>
    </row>
    <row r="10" spans="1:4" x14ac:dyDescent="0.25">
      <c r="A10" s="10" t="s">
        <v>222</v>
      </c>
      <c r="B10" s="10" t="s">
        <v>223</v>
      </c>
      <c r="C10" s="10" t="s">
        <v>224</v>
      </c>
      <c r="D10" s="10" t="s">
        <v>225</v>
      </c>
    </row>
    <row r="11" spans="1:4" x14ac:dyDescent="0.25">
      <c r="A11" s="10" t="s">
        <v>226</v>
      </c>
      <c r="B11" s="10" t="s">
        <v>227</v>
      </c>
      <c r="C11" s="10" t="s">
        <v>228</v>
      </c>
      <c r="D11" s="10" t="s">
        <v>229</v>
      </c>
    </row>
    <row r="14" spans="1:1" x14ac:dyDescent="0.25">
      <c r="A14" s="44" t="s">
        <v>230</v>
      </c>
    </row>
    <row r="15" spans="1:3" x14ac:dyDescent="0.25">
      <c r="A15" s="45" t="s">
        <v>231</v>
      </c>
      <c r="B15" s="45" t="s">
        <v>206</v>
      </c>
      <c r="C15" s="45" t="s">
        <v>232</v>
      </c>
    </row>
    <row r="16" spans="1:3" x14ac:dyDescent="0.25">
      <c r="A16" s="10" t="s">
        <v>233</v>
      </c>
      <c r="B16" s="10" t="s">
        <v>234</v>
      </c>
      <c r="C16" s="46" t="s">
        <v>235</v>
      </c>
    </row>
    <row r="17" spans="1:3" x14ac:dyDescent="0.25">
      <c r="A17" s="10" t="s">
        <v>236</v>
      </c>
      <c r="B17" s="10" t="s">
        <v>237</v>
      </c>
      <c r="C17" s="46" t="s">
        <v>238</v>
      </c>
    </row>
    <row r="18" spans="1:3" x14ac:dyDescent="0.25">
      <c r="A18" s="10" t="s">
        <v>239</v>
      </c>
      <c r="B18" s="10" t="s">
        <v>240</v>
      </c>
      <c r="C18" s="46" t="s">
        <v>241</v>
      </c>
    </row>
    <row r="19" spans="1:3" x14ac:dyDescent="0.25">
      <c r="A19" s="10" t="s">
        <v>242</v>
      </c>
      <c r="B19" s="10" t="s">
        <v>243</v>
      </c>
      <c r="C19" s="46" t="s">
        <v>244</v>
      </c>
    </row>
    <row r="20" spans="1:3" x14ac:dyDescent="0.25">
      <c r="A20" s="10" t="s">
        <v>245</v>
      </c>
      <c r="B20" s="10" t="s">
        <v>246</v>
      </c>
      <c r="C20" s="46" t="s">
        <v>247</v>
      </c>
    </row>
    <row r="21" spans="1:3" x14ac:dyDescent="0.25">
      <c r="A21" s="10" t="s">
        <v>248</v>
      </c>
      <c r="B21" s="10" t="s">
        <v>249</v>
      </c>
      <c r="C21" s="46" t="s">
        <v>250</v>
      </c>
    </row>
    <row r="22" spans="1:3" x14ac:dyDescent="0.25">
      <c r="A22" s="10" t="s">
        <v>251</v>
      </c>
      <c r="B22" s="10" t="s">
        <v>252</v>
      </c>
      <c r="C22" s="46" t="s">
        <v>253</v>
      </c>
    </row>
    <row r="23" spans="1:3" x14ac:dyDescent="0.25">
      <c r="A23" s="10" t="s">
        <v>254</v>
      </c>
      <c r="B23" s="10" t="s">
        <v>255</v>
      </c>
      <c r="C23" s="10" t="s">
        <v>256</v>
      </c>
    </row>
    <row r="24" spans="1:3" x14ac:dyDescent="0.25">
      <c r="A24" s="10" t="s">
        <v>257</v>
      </c>
      <c r="B24" s="10" t="s">
        <v>258</v>
      </c>
      <c r="C24" s="46" t="s">
        <v>259</v>
      </c>
    </row>
    <row r="25" spans="1:3" x14ac:dyDescent="0.25">
      <c r="A25" s="10" t="s">
        <v>260</v>
      </c>
      <c r="B25" s="10" t="s">
        <v>261</v>
      </c>
      <c r="C25" s="46" t="s">
        <v>262</v>
      </c>
    </row>
    <row r="26" spans="1:3" x14ac:dyDescent="0.25">
      <c r="A26" s="10" t="s">
        <v>263</v>
      </c>
      <c r="B26" s="10" t="s">
        <v>264</v>
      </c>
      <c r="C26" s="46" t="s">
        <v>265</v>
      </c>
    </row>
    <row r="27" spans="1:3" x14ac:dyDescent="0.25">
      <c r="A27" s="10" t="s">
        <v>266</v>
      </c>
      <c r="B27" s="10" t="s">
        <v>267</v>
      </c>
      <c r="C27" s="46" t="s">
        <v>268</v>
      </c>
    </row>
    <row r="30" spans="1:1" x14ac:dyDescent="0.25">
      <c r="A30" s="44" t="s">
        <v>269</v>
      </c>
    </row>
    <row r="31" spans="1:3" x14ac:dyDescent="0.25">
      <c r="A31" s="45" t="s">
        <v>270</v>
      </c>
      <c r="B31" s="45" t="s">
        <v>271</v>
      </c>
      <c r="C31" s="45" t="s">
        <v>272</v>
      </c>
    </row>
    <row r="32" spans="1:3" x14ac:dyDescent="0.25">
      <c r="A32" s="10" t="s">
        <v>273</v>
      </c>
      <c r="B32" s="47">
        <v>0.15</v>
      </c>
      <c r="C32" s="47">
        <v>0.6</v>
      </c>
    </row>
    <row r="33" spans="1:3" x14ac:dyDescent="0.25">
      <c r="A33" s="10" t="s">
        <v>274</v>
      </c>
      <c r="B33" s="47">
        <v>0.2</v>
      </c>
      <c r="C33" s="47">
        <v>0.65</v>
      </c>
    </row>
    <row r="34" spans="1:3" x14ac:dyDescent="0.25">
      <c r="A34" s="10" t="s">
        <v>275</v>
      </c>
      <c r="B34" s="47">
        <v>0.35</v>
      </c>
      <c r="C34" s="47">
        <v>0.75</v>
      </c>
    </row>
    <row r="35" spans="1:3" x14ac:dyDescent="0.25">
      <c r="A35" s="10" t="s">
        <v>276</v>
      </c>
      <c r="B35" s="47">
        <v>0.55</v>
      </c>
      <c r="C35" s="47">
        <v>0.85</v>
      </c>
    </row>
    <row r="36" spans="1:3" x14ac:dyDescent="0.25">
      <c r="A36" s="10" t="s">
        <v>277</v>
      </c>
      <c r="B36" s="47">
        <v>0.8</v>
      </c>
      <c r="C36" s="47">
        <v>0.95</v>
      </c>
    </row>
    <row r="37" spans="1:3" x14ac:dyDescent="0.25">
      <c r="A37" s="10" t="s">
        <v>278</v>
      </c>
      <c r="B37" s="47">
        <v>1</v>
      </c>
      <c r="C37" s="47">
        <v>1</v>
      </c>
    </row>
    <row r="38" spans="1:3" x14ac:dyDescent="0.25">
      <c r="A38" s="10" t="s">
        <v>279</v>
      </c>
      <c r="B38" s="47">
        <v>1</v>
      </c>
      <c r="C38" s="47">
        <v>1</v>
      </c>
    </row>
    <row r="39" spans="1:3" x14ac:dyDescent="0.25">
      <c r="A39" s="10" t="s">
        <v>280</v>
      </c>
      <c r="B39" s="47">
        <v>0.95</v>
      </c>
      <c r="C39" s="47">
        <v>0.95</v>
      </c>
    </row>
    <row r="40" spans="1:3" x14ac:dyDescent="0.25">
      <c r="A40" s="10" t="s">
        <v>281</v>
      </c>
      <c r="B40" s="47">
        <v>0.85</v>
      </c>
      <c r="C40" s="47">
        <v>0.9</v>
      </c>
    </row>
    <row r="41" spans="1:3" x14ac:dyDescent="0.25">
      <c r="A41" s="10" t="s">
        <v>282</v>
      </c>
      <c r="B41" s="47">
        <v>0.65</v>
      </c>
      <c r="C41" s="47">
        <v>0.8</v>
      </c>
    </row>
    <row r="42" spans="1:3" x14ac:dyDescent="0.25">
      <c r="A42" s="10" t="s">
        <v>283</v>
      </c>
      <c r="B42" s="47">
        <v>0.35</v>
      </c>
      <c r="C42" s="47">
        <v>0.7</v>
      </c>
    </row>
    <row r="43" spans="1:3" x14ac:dyDescent="0.25">
      <c r="A43" s="10" t="s">
        <v>284</v>
      </c>
      <c r="B43" s="47">
        <v>0.25</v>
      </c>
      <c r="C43" s="47">
        <v>0.6</v>
      </c>
    </row>
    <row r="44" spans="1:3" x14ac:dyDescent="0.25">
      <c r="A44" s="48" t="s">
        <v>285</v>
      </c>
      <c r="B44" s="49">
        <f>AVERAGE(B32:B43)</f>
      </c>
      <c r="C44" s="49">
        <f>AVERAGE(C32:C43)</f>
      </c>
    </row>
    <row r="47" spans="1:1" x14ac:dyDescent="0.25">
      <c r="A47" s="44" t="s">
        <v>286</v>
      </c>
    </row>
    <row r="48" spans="1:3" x14ac:dyDescent="0.25">
      <c r="A48" s="45" t="s">
        <v>287</v>
      </c>
      <c r="B48" s="45" t="s">
        <v>288</v>
      </c>
      <c r="C48" s="45" t="s">
        <v>289</v>
      </c>
    </row>
    <row r="49" spans="1:3" x14ac:dyDescent="0.25">
      <c r="A49" s="10" t="s">
        <v>6</v>
      </c>
      <c r="B49" s="37" t="s">
        <v>101</v>
      </c>
      <c r="C49" s="37" t="s">
        <v>102</v>
      </c>
    </row>
    <row r="50" spans="1:3" x14ac:dyDescent="0.25">
      <c r="A50" s="10" t="s">
        <v>290</v>
      </c>
      <c r="B50" s="37" t="s">
        <v>101</v>
      </c>
      <c r="C50" s="37" t="s">
        <v>291</v>
      </c>
    </row>
    <row r="51" spans="1:3" x14ac:dyDescent="0.25">
      <c r="A51" s="10" t="s">
        <v>292</v>
      </c>
      <c r="B51" s="37" t="s">
        <v>101</v>
      </c>
      <c r="C51" s="37" t="s">
        <v>291</v>
      </c>
    </row>
    <row r="52" spans="1:3" x14ac:dyDescent="0.25">
      <c r="A52" s="10" t="s">
        <v>293</v>
      </c>
      <c r="B52" s="37" t="s">
        <v>101</v>
      </c>
      <c r="C52" s="37" t="s">
        <v>101</v>
      </c>
    </row>
    <row r="53" spans="1:3" x14ac:dyDescent="0.25">
      <c r="A53" s="10" t="s">
        <v>294</v>
      </c>
      <c r="B53" s="37" t="s">
        <v>291</v>
      </c>
      <c r="C53" s="37" t="s">
        <v>71</v>
      </c>
    </row>
    <row r="54" spans="1:3" x14ac:dyDescent="0.25">
      <c r="A54" s="10" t="s">
        <v>48</v>
      </c>
      <c r="B54" s="37" t="s">
        <v>291</v>
      </c>
      <c r="C54" s="37" t="s">
        <v>291</v>
      </c>
    </row>
    <row r="55" spans="1:3" x14ac:dyDescent="0.25">
      <c r="A55" s="10" t="s">
        <v>295</v>
      </c>
      <c r="B55" s="37" t="s">
        <v>71</v>
      </c>
      <c r="C55" s="37" t="s">
        <v>291</v>
      </c>
    </row>
    <row r="56" spans="1:3" x14ac:dyDescent="0.25">
      <c r="A56" s="10" t="s">
        <v>296</v>
      </c>
      <c r="B56" s="37" t="s">
        <v>71</v>
      </c>
      <c r="C56" s="37" t="s">
        <v>291</v>
      </c>
    </row>
    <row r="57" spans="1:3" x14ac:dyDescent="0.25">
      <c r="A57" s="10" t="s">
        <v>51</v>
      </c>
      <c r="B57" s="37" t="s">
        <v>71</v>
      </c>
      <c r="C57" s="37" t="s">
        <v>71</v>
      </c>
    </row>
    <row r="58" spans="1:3" x14ac:dyDescent="0.25">
      <c r="A58" s="10" t="s">
        <v>17</v>
      </c>
      <c r="B58" s="37" t="s">
        <v>71</v>
      </c>
      <c r="C58" s="37" t="s">
        <v>71</v>
      </c>
    </row>
  </sheetData>
  <mergeCells count="1">
    <mergeCell ref="A1:F1"/>
  </mergeCells>
  <hyperlinks>
    <hyperlink ref="C16" r:id="rId1"/>
    <hyperlink ref="C17" r:id="rId2"/>
    <hyperlink ref="C18" r:id="rId3"/>
    <hyperlink ref="C19" r:id="rId4"/>
    <hyperlink ref="C20" r:id="rId5"/>
    <hyperlink ref="C21" r:id="rId6"/>
    <hyperlink ref="C22" r:id="rId7"/>
    <hyperlink ref="C24" r:id="rId8"/>
    <hyperlink ref="C25" r:id="rId9"/>
    <hyperlink ref="C26" r:id="rId10"/>
    <hyperlink ref="C27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Market Input</vt:lpstr>
      <vt:lpstr>Scoring Engine</vt:lpstr>
      <vt:lpstr>Revenue Projections</vt:lpstr>
      <vt:lpstr>Cost &amp; ROI</vt:lpstr>
      <vt:lpstr>Priority Dashboard</vt:lpstr>
      <vt:lpstr>Reference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815 Enterprises</dc:creator>
  <dc:title/>
  <dc:subject/>
  <dc:description/>
  <cp:keywords/>
  <cp:category/>
  <cp:lastModifiedBy>Unknown</cp:lastModifiedBy>
  <dcterms:created xsi:type="dcterms:W3CDTF">2026-03-06T16:54:35Z</dcterms:created>
  <dcterms:modified xsi:type="dcterms:W3CDTF">2026-03-06T16:54:35Z</dcterms:modified>
</cp:coreProperties>
</file>